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C WEB\Backend\Data\"/>
    </mc:Choice>
  </mc:AlternateContent>
  <xr:revisionPtr revIDLastSave="0" documentId="13_ncr:1_{B0C13CCC-A901-456D-9641-DFDD7B36CAFE}" xr6:coauthVersionLast="47" xr6:coauthVersionMax="47" xr10:uidLastSave="{00000000-0000-0000-0000-000000000000}"/>
  <bookViews>
    <workbookView xWindow="-108" yWindow="-108" windowWidth="23256" windowHeight="12456" firstSheet="24" activeTab="26" xr2:uid="{00000000-000D-0000-FFFF-FFFF00000000}"/>
  </bookViews>
  <sheets>
    <sheet name="Team Colors" sheetId="1" r:id="rId1"/>
    <sheet name="Overall Table" sheetId="2" r:id="rId2"/>
    <sheet name="Pools and Sports" sheetId="3" state="hidden" r:id="rId3"/>
    <sheet name="Athletics" sheetId="4" r:id="rId4"/>
    <sheet name="Athletics Results" sheetId="5" r:id="rId5"/>
    <sheet name="ATHLETICS TABLE" sheetId="6" r:id="rId6"/>
    <sheet name="Badminton(MEN)" sheetId="8" r:id="rId7"/>
    <sheet name="Badminton(MEN) Table" sheetId="9" r:id="rId8"/>
    <sheet name="Badminton(Women)" sheetId="11" r:id="rId9"/>
    <sheet name="Badminton(WOMEN) Table" sheetId="12" r:id="rId10"/>
    <sheet name="Basketball (Men)" sheetId="14" r:id="rId11"/>
    <sheet name="Basketball Table (Men)" sheetId="15" r:id="rId12"/>
    <sheet name="Basketball (Women)" sheetId="17" r:id="rId13"/>
    <sheet name="Basketball Table (Women)" sheetId="18" r:id="rId14"/>
    <sheet name="Chess" sheetId="20" r:id="rId15"/>
    <sheet name="Chess Table" sheetId="21" r:id="rId16"/>
    <sheet name="Cricket" sheetId="23" r:id="rId17"/>
    <sheet name="Cricket Table" sheetId="24" r:id="rId18"/>
    <sheet name="Football" sheetId="26" r:id="rId19"/>
    <sheet name="Football Table" sheetId="27" r:id="rId20"/>
    <sheet name="Table Tennis - Previous" sheetId="29" state="hidden" r:id="rId21"/>
    <sheet name="Table Tennis(Mens)" sheetId="30" r:id="rId22"/>
    <sheet name="Table Tennis(Womens)" sheetId="33" r:id="rId23"/>
    <sheet name="Table Tennis(Womens) Table" sheetId="34" r:id="rId24"/>
    <sheet name="Volleyball (Men)" sheetId="36" r:id="rId25"/>
    <sheet name="Volleyball Table (Men)" sheetId="37" r:id="rId26"/>
    <sheet name="Volleyball (Women)" sheetId="39" r:id="rId27"/>
    <sheet name="Volleyball Table (Women)" sheetId="40" r:id="rId28"/>
    <sheet name="Feb 28" sheetId="41" state="hidden" r:id="rId29"/>
    <sheet name="March 1" sheetId="42" state="hidden" r:id="rId30"/>
    <sheet name="March 2" sheetId="43" state="hidden" r:id="rId31"/>
    <sheet name="March 3" sheetId="44" state="hidden" r:id="rId32"/>
    <sheet name="March 4" sheetId="45" state="hidden" r:id="rId33"/>
    <sheet name="March 5" sheetId="46" state="hidden" r:id="rId34"/>
    <sheet name="March 6" sheetId="47" state="hidden" r:id="rId35"/>
    <sheet name="March 7" sheetId="48" state="hidden" r:id="rId36"/>
    <sheet name="March 8" sheetId="49" state="hidden" r:id="rId37"/>
    <sheet name="March 9" sheetId="50" state="hidden" r:id="rId38"/>
  </sheets>
  <definedNames>
    <definedName name="_xlnm._FilterDatabase" localSheetId="5" hidden="1">'ATHLETICS TABLE'!$A$3:$R$12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4" roundtripDataChecksum="WhhcSht3C8MgXQIQXIfJbIwKVZm3rjlY0DSIqu9QCE4="/>
    </ext>
  </extLst>
</workbook>
</file>

<file path=xl/calcChain.xml><?xml version="1.0" encoding="utf-8"?>
<calcChain xmlns="http://schemas.openxmlformats.org/spreadsheetml/2006/main">
  <c r="F9" i="21" l="1"/>
  <c r="F8" i="21"/>
  <c r="F7" i="21"/>
  <c r="F6" i="21"/>
  <c r="F5" i="21"/>
  <c r="F4" i="21"/>
  <c r="F2" i="21"/>
  <c r="I7" i="18"/>
  <c r="I6" i="18"/>
  <c r="I5" i="18"/>
  <c r="I4" i="18"/>
  <c r="I3" i="18"/>
  <c r="R12" i="6"/>
  <c r="R11" i="6"/>
  <c r="R10" i="6"/>
  <c r="R9" i="6"/>
  <c r="R8" i="6"/>
  <c r="R7" i="6"/>
  <c r="R6" i="6"/>
  <c r="R5" i="6"/>
  <c r="R4" i="6"/>
  <c r="I16" i="2"/>
  <c r="H16" i="2"/>
  <c r="G16" i="2"/>
  <c r="I14" i="2"/>
  <c r="H14" i="2"/>
  <c r="G14" i="2"/>
  <c r="F14" i="2"/>
  <c r="F16" i="2" s="1"/>
  <c r="E14" i="2"/>
  <c r="E16" i="2" s="1"/>
  <c r="D14" i="2"/>
  <c r="D16" i="2" s="1"/>
  <c r="C14" i="2"/>
  <c r="C16" i="2" s="1"/>
  <c r="B14" i="2"/>
  <c r="B16" i="2" s="1"/>
</calcChain>
</file>

<file path=xl/sharedStrings.xml><?xml version="1.0" encoding="utf-8"?>
<sst xmlns="http://schemas.openxmlformats.org/spreadsheetml/2006/main" count="2214" uniqueCount="592">
  <si>
    <t>B20- Yellow, Black</t>
  </si>
  <si>
    <t>Mighty Lions</t>
  </si>
  <si>
    <t>PhD- Maroon, Blue</t>
  </si>
  <si>
    <t>Stalwart Rhinos</t>
  </si>
  <si>
    <t>B23- Grey, Black</t>
  </si>
  <si>
    <t>Wild Wolves</t>
  </si>
  <si>
    <t>B21- Light Orange, Black</t>
  </si>
  <si>
    <t>Savage Sharks</t>
  </si>
  <si>
    <t>MS/Msc- Neon Green, White</t>
  </si>
  <si>
    <t>Brave Bulls</t>
  </si>
  <si>
    <t xml:space="preserve">Faculty and Staff - Red, White </t>
  </si>
  <si>
    <t>Majestic Eagles</t>
  </si>
  <si>
    <t>MTech- Navy Blue, White</t>
  </si>
  <si>
    <t>Ferocious Tigers</t>
  </si>
  <si>
    <t>B22- Sky Blue, Black</t>
  </si>
  <si>
    <t>Stealthy Panthers</t>
  </si>
  <si>
    <t>BRAVE BULLS Msc/MS</t>
  </si>
  <si>
    <t>FEROCIOUS TIGERS MTECH</t>
  </si>
  <si>
    <t>MAJESTIC EAGLES FACULTY/STAFF</t>
  </si>
  <si>
    <t>MIGHTY LIONS B24</t>
  </si>
  <si>
    <t>SAVAGE SHARKS B21</t>
  </si>
  <si>
    <t>STALWART RHINOS PHD</t>
  </si>
  <si>
    <t>STEALTHY PANTHERS B22</t>
  </si>
  <si>
    <t>WILD WOLVES B23</t>
  </si>
  <si>
    <t>ATHLETICS</t>
  </si>
  <si>
    <t>BADMINTON - MEN</t>
  </si>
  <si>
    <t>BADMINTON - WOMEN</t>
  </si>
  <si>
    <t>BASKETBALL - MEN</t>
  </si>
  <si>
    <t>BASKETBALL - WOMEN</t>
  </si>
  <si>
    <t>CHESS</t>
  </si>
  <si>
    <t>CRICKET</t>
  </si>
  <si>
    <t>FOOTBALL</t>
  </si>
  <si>
    <t>TABLE TENNIS - MEN</t>
  </si>
  <si>
    <t>TABLE TENNIS - WOMEN</t>
  </si>
  <si>
    <t>VOLLEYBALL - MEN</t>
  </si>
  <si>
    <t>VOLLEYBALL - WOMEN</t>
  </si>
  <si>
    <t>TOTAL</t>
  </si>
  <si>
    <t>PENALTIES</t>
  </si>
  <si>
    <t>GRAND TOTAL*</t>
  </si>
  <si>
    <t>8th</t>
  </si>
  <si>
    <t>6th</t>
  </si>
  <si>
    <t>5th</t>
  </si>
  <si>
    <t>7th</t>
  </si>
  <si>
    <t>3rd</t>
  </si>
  <si>
    <t>1st</t>
  </si>
  <si>
    <t>4th</t>
  </si>
  <si>
    <t>2nd</t>
  </si>
  <si>
    <t>*In case of tie, March Past Standings would be considered (as informed in the Board Meetings)</t>
  </si>
  <si>
    <t>MARCH PAST POSITION (for tie-break)</t>
  </si>
  <si>
    <t>POOLS</t>
  </si>
  <si>
    <t>SPORTS</t>
  </si>
  <si>
    <t>POOL A</t>
  </si>
  <si>
    <t>POOL B</t>
  </si>
  <si>
    <t>MEN'S</t>
  </si>
  <si>
    <t>WOMEN'S</t>
  </si>
  <si>
    <t>A1</t>
  </si>
  <si>
    <t>B1</t>
  </si>
  <si>
    <t>100M</t>
  </si>
  <si>
    <t>A2</t>
  </si>
  <si>
    <t>B2</t>
  </si>
  <si>
    <t>200M</t>
  </si>
  <si>
    <t>A3</t>
  </si>
  <si>
    <t>B3</t>
  </si>
  <si>
    <t>400M</t>
  </si>
  <si>
    <t>A4</t>
  </si>
  <si>
    <t>B4</t>
  </si>
  <si>
    <t>800M</t>
  </si>
  <si>
    <t>1500M</t>
  </si>
  <si>
    <t>4x100M Relay</t>
  </si>
  <si>
    <t>Hammer Throw</t>
  </si>
  <si>
    <t>Shot Put</t>
  </si>
  <si>
    <t>Discus Throw</t>
  </si>
  <si>
    <t>BASKETBALL</t>
  </si>
  <si>
    <t>BADMINTON</t>
  </si>
  <si>
    <t>VOLLEYBALL</t>
  </si>
  <si>
    <t>TABLE TENNIS</t>
  </si>
  <si>
    <t>CHESS (Mixed)</t>
  </si>
  <si>
    <t>MEN</t>
  </si>
  <si>
    <t>WOMEN</t>
  </si>
  <si>
    <t>EVENT</t>
  </si>
  <si>
    <t>DATE</t>
  </si>
  <si>
    <t>TIME</t>
  </si>
  <si>
    <t>VENUE</t>
  </si>
  <si>
    <t>HEATS</t>
  </si>
  <si>
    <t>Heat 1</t>
  </si>
  <si>
    <t>7:10pm - 7:20pm</t>
  </si>
  <si>
    <t>Sahyadri Ground</t>
  </si>
  <si>
    <t>7:25pm - 7:35pm</t>
  </si>
  <si>
    <t>Heat 2</t>
  </si>
  <si>
    <t>Heat 3</t>
  </si>
  <si>
    <t>Heat 4</t>
  </si>
  <si>
    <t>5:50pm - 6:00pm</t>
  </si>
  <si>
    <t>6:00pm - 6:10pm</t>
  </si>
  <si>
    <t>4x100M</t>
  </si>
  <si>
    <t>FINALS</t>
  </si>
  <si>
    <t>6:00am - 6:15am</t>
  </si>
  <si>
    <t>6:15am - 6:30am</t>
  </si>
  <si>
    <t>6:30am - 6:45am</t>
  </si>
  <si>
    <t>6:45am - 7:00am</t>
  </si>
  <si>
    <t>7:10am - 7:15am</t>
  </si>
  <si>
    <t>7:15am - 7:20am</t>
  </si>
  <si>
    <t>7:20am - 7:30am</t>
  </si>
  <si>
    <t>7:30am - 7:45am</t>
  </si>
  <si>
    <t>7:45am - 8:00am</t>
  </si>
  <si>
    <t>8:00am - 8:30am</t>
  </si>
  <si>
    <t>5pm - 6pm</t>
  </si>
  <si>
    <t>6pm - 7pm</t>
  </si>
  <si>
    <t>7pm - 8pm</t>
  </si>
  <si>
    <t>Javelin Throw</t>
  </si>
  <si>
    <r>
      <rPr>
        <sz val="20"/>
        <color rgb="FF000000"/>
        <rFont val="EB Garamond"/>
      </rPr>
      <t>S.NO</t>
    </r>
    <r>
      <rPr>
        <sz val="20"/>
        <color theme="1"/>
        <rFont val="EB Garamond"/>
      </rPr>
      <t>.</t>
    </r>
  </si>
  <si>
    <t>NAME</t>
  </si>
  <si>
    <t>HEATS (Selected to Finals)</t>
  </si>
  <si>
    <t>Ajul(SP)</t>
  </si>
  <si>
    <t>Prasanna(WW)</t>
  </si>
  <si>
    <t>Rajesh(WW)</t>
  </si>
  <si>
    <t>Steffy benny(SR)</t>
  </si>
  <si>
    <t>Sainadh(SP)</t>
  </si>
  <si>
    <t>Varsha(WW)</t>
  </si>
  <si>
    <t>Ratna Kishore (WW)</t>
  </si>
  <si>
    <t>Srinidi(ML)</t>
  </si>
  <si>
    <t>RAJESH(WW)</t>
  </si>
  <si>
    <t>VArsha(WW)</t>
  </si>
  <si>
    <t>Trilochan(WW)</t>
  </si>
  <si>
    <t>AJUL(SP)</t>
  </si>
  <si>
    <t>STEffy benny(SR)</t>
  </si>
  <si>
    <t>SAinadh(SP)</t>
  </si>
  <si>
    <t>ISHA(ML)</t>
  </si>
  <si>
    <t>TEJ(ML)</t>
  </si>
  <si>
    <t>SIVAKAMI(FT)</t>
  </si>
  <si>
    <t>Prichand(SP)</t>
  </si>
  <si>
    <t>Sainath(SP)</t>
  </si>
  <si>
    <t>Anusha(SP)</t>
  </si>
  <si>
    <t>Dipanshu(SS)</t>
  </si>
  <si>
    <t>Isha(ML)</t>
  </si>
  <si>
    <t>Puneeth (ML)</t>
  </si>
  <si>
    <t>Kashishdeep Kaur(ML)</t>
  </si>
  <si>
    <t>Pawan(SR)</t>
  </si>
  <si>
    <t>Emannuel (ML)</t>
  </si>
  <si>
    <t>4x100M RELAY</t>
  </si>
  <si>
    <t>SP</t>
  </si>
  <si>
    <t>WW</t>
  </si>
  <si>
    <t>ML</t>
  </si>
  <si>
    <t>SR</t>
  </si>
  <si>
    <t>Sainath</t>
  </si>
  <si>
    <t>Steffy Benny (SR)</t>
  </si>
  <si>
    <t>Ajul</t>
  </si>
  <si>
    <t>Lakshmi Prasanna(WW)</t>
  </si>
  <si>
    <t>Rajesh</t>
  </si>
  <si>
    <t>Kishore</t>
  </si>
  <si>
    <t>Sainath (SP)</t>
  </si>
  <si>
    <t>Varsha (WW)</t>
  </si>
  <si>
    <t>Rajesh (WW)</t>
  </si>
  <si>
    <t>Prasanna (WW)</t>
  </si>
  <si>
    <t>Ajul (SP)</t>
  </si>
  <si>
    <t>Steffy (SR)</t>
  </si>
  <si>
    <t>Trilochan (WW)</t>
  </si>
  <si>
    <t>Prasanna</t>
  </si>
  <si>
    <t>Trilochan</t>
  </si>
  <si>
    <t>Varsha</t>
  </si>
  <si>
    <t>Prichand</t>
  </si>
  <si>
    <t>Anusha</t>
  </si>
  <si>
    <t>Dipanshu</t>
  </si>
  <si>
    <t>Isha</t>
  </si>
  <si>
    <t>Emmaneul(ML)</t>
  </si>
  <si>
    <t xml:space="preserve">Dipanshu(SS) </t>
  </si>
  <si>
    <t>ww</t>
  </si>
  <si>
    <t>DISCUS THROW</t>
  </si>
  <si>
    <t>RAJAN(SS)</t>
  </si>
  <si>
    <t>AJAY(SR)</t>
  </si>
  <si>
    <t>AKSHAY(ML)</t>
  </si>
  <si>
    <t>HAMMER THROW</t>
  </si>
  <si>
    <t>AJAY (SR)</t>
  </si>
  <si>
    <t>RAJAN (SS)</t>
  </si>
  <si>
    <t>SHOT PUT</t>
  </si>
  <si>
    <t>CHARISHMA(SS)</t>
  </si>
  <si>
    <t>CATHY(SR)</t>
  </si>
  <si>
    <t>STEFFY(SR)</t>
  </si>
  <si>
    <t>KISHORE K(SP)</t>
  </si>
  <si>
    <t>Puneeth Singh(SS)</t>
  </si>
  <si>
    <t>Nirmal (FT)</t>
  </si>
  <si>
    <t>Siddarth(ML)</t>
  </si>
  <si>
    <t>TEAM NAME</t>
  </si>
  <si>
    <t>Column 1</t>
  </si>
  <si>
    <t>100M (MEN)</t>
  </si>
  <si>
    <t>100M (W)</t>
  </si>
  <si>
    <t>200M(M)</t>
  </si>
  <si>
    <t>200M(W)</t>
  </si>
  <si>
    <t>400M(M)</t>
  </si>
  <si>
    <t>400M(W)</t>
  </si>
  <si>
    <t>1500</t>
  </si>
  <si>
    <t>4*100(M)</t>
  </si>
  <si>
    <t>4*100(W)</t>
  </si>
  <si>
    <t>SHOTPUT(M)</t>
  </si>
  <si>
    <t>SHOTPUT(W)</t>
  </si>
  <si>
    <t>JAVELIN</t>
  </si>
  <si>
    <t>HAMMER</t>
  </si>
  <si>
    <t>DISCUSS</t>
  </si>
  <si>
    <t>WILD WOLVES</t>
  </si>
  <si>
    <t>STEALTHY PANTHERS</t>
  </si>
  <si>
    <t>STARWALT RHINOS</t>
  </si>
  <si>
    <t>SAVAGE SHARKS</t>
  </si>
  <si>
    <t>MIGHTY LIONS</t>
  </si>
  <si>
    <t>FEROCIOUS TIGERS</t>
  </si>
  <si>
    <t>MAJESTIC EAGLE</t>
  </si>
  <si>
    <t>BRAVEBULLS</t>
  </si>
  <si>
    <t>Total</t>
  </si>
  <si>
    <t>BADMINTON(MEN)</t>
  </si>
  <si>
    <t>MATCH NO.</t>
  </si>
  <si>
    <t>TEAM I</t>
  </si>
  <si>
    <t>-</t>
  </si>
  <si>
    <t>TEAM II</t>
  </si>
  <si>
    <t>SCORE</t>
  </si>
  <si>
    <t>GROUP STAGE</t>
  </si>
  <si>
    <t>vs</t>
  </si>
  <si>
    <t>5:15pm - 7:15pm</t>
  </si>
  <si>
    <t>Agora Auditorium</t>
  </si>
  <si>
    <t>3-2</t>
  </si>
  <si>
    <t>6:45am - 8:45am</t>
  </si>
  <si>
    <t>0-3</t>
  </si>
  <si>
    <t>9:00am - 11:00am</t>
  </si>
  <si>
    <t>3-1</t>
  </si>
  <si>
    <t>7am - 9:00am</t>
  </si>
  <si>
    <t>10:35am - 12:35pm</t>
  </si>
  <si>
    <t>2-3</t>
  </si>
  <si>
    <t>2:15pm - 4:15pm</t>
  </si>
  <si>
    <t>5:50pm - 7:50pm</t>
  </si>
  <si>
    <t>3-0</t>
  </si>
  <si>
    <t>SEMI FINALS</t>
  </si>
  <si>
    <t>Pool A Winner   (Rhinos)</t>
  </si>
  <si>
    <t>Pool B Runner Up (WILD WOLVES)</t>
  </si>
  <si>
    <t>Pool B Winner    (Sharks)</t>
  </si>
  <si>
    <t>Pool A Runner Up (Lions)</t>
  </si>
  <si>
    <t>LOSER'S FINAL</t>
  </si>
  <si>
    <t>Wild wolves</t>
  </si>
  <si>
    <t>Lions</t>
  </si>
  <si>
    <t>FINAL</t>
  </si>
  <si>
    <t>Rhinos</t>
  </si>
  <si>
    <t>Sharks</t>
  </si>
  <si>
    <t>9am - 11:00pm</t>
  </si>
  <si>
    <t>TEAM</t>
  </si>
  <si>
    <t>MP</t>
  </si>
  <si>
    <t>MW</t>
  </si>
  <si>
    <t>POINTS</t>
  </si>
  <si>
    <t>GW</t>
  </si>
  <si>
    <t>GL</t>
  </si>
  <si>
    <t>GD</t>
  </si>
  <si>
    <t>LEGEND</t>
  </si>
  <si>
    <t>MP - Match Played</t>
  </si>
  <si>
    <t>MW - Match Won</t>
  </si>
  <si>
    <t>ML - Match Lost</t>
  </si>
  <si>
    <t>GW - Games Won</t>
  </si>
  <si>
    <t>GL - Game Lost</t>
  </si>
  <si>
    <t>GD - Game Difference</t>
  </si>
  <si>
    <t>Tigers</t>
  </si>
  <si>
    <t>Panthers</t>
  </si>
  <si>
    <t>Wolves</t>
  </si>
  <si>
    <t>BADMINTON(WOMEN)</t>
  </si>
  <si>
    <t>7:30pm - 8:30pm</t>
  </si>
  <si>
    <t>0-2</t>
  </si>
  <si>
    <t>Stealthy panthers</t>
  </si>
  <si>
    <t>BYE</t>
  </si>
  <si>
    <t>4:30pm - 5:45pm</t>
  </si>
  <si>
    <t>Starwart Rhinos</t>
  </si>
  <si>
    <t>12:40pm - 1:55pm</t>
  </si>
  <si>
    <t>9:15am - 10:30am</t>
  </si>
  <si>
    <t>2-1</t>
  </si>
  <si>
    <t>12:50pm - 2:05pm</t>
  </si>
  <si>
    <t>8:05pm - 9:20pm</t>
  </si>
  <si>
    <t>2-0</t>
  </si>
  <si>
    <t>Pool A Winner   (MIGHTY LIONS)</t>
  </si>
  <si>
    <t>Pool B Runner Up  (SAVAGE SHARKS)</t>
  </si>
  <si>
    <t>9:00am - 10:15am</t>
  </si>
  <si>
    <t>Pool B Winner    (STALWART RHINOS)</t>
  </si>
  <si>
    <t>Pool A Runner Up (STEALTHY PANTHERS)</t>
  </si>
  <si>
    <t>1:50am - 2:05pm</t>
  </si>
  <si>
    <t>Savage sharks</t>
  </si>
  <si>
    <t>11am - 12:00pm</t>
  </si>
  <si>
    <t>Bulls</t>
  </si>
  <si>
    <t>Eagles</t>
  </si>
  <si>
    <t>5:15pm - 6:00pm</t>
  </si>
  <si>
    <t>Sahyadri Court</t>
  </si>
  <si>
    <t>15-33</t>
  </si>
  <si>
    <t>BraveBulls</t>
  </si>
  <si>
    <t>6:00pm - 7:15pm</t>
  </si>
  <si>
    <t>37-52</t>
  </si>
  <si>
    <t>31-55</t>
  </si>
  <si>
    <t>7:15am - 8:30am</t>
  </si>
  <si>
    <t>37-46</t>
  </si>
  <si>
    <t>WINNER</t>
  </si>
  <si>
    <t>SHARKS</t>
  </si>
  <si>
    <t>8:00pm - 9:00pm</t>
  </si>
  <si>
    <t>75-37</t>
  </si>
  <si>
    <t>RUNNER</t>
  </si>
  <si>
    <t>TIGERS</t>
  </si>
  <si>
    <t>95-26</t>
  </si>
  <si>
    <t>5:00pm - 6:00pm</t>
  </si>
  <si>
    <t>55-28</t>
  </si>
  <si>
    <t>35-59</t>
  </si>
  <si>
    <t>79-21</t>
  </si>
  <si>
    <t>71-23</t>
  </si>
  <si>
    <t>6:00pm - 7:00pm</t>
  </si>
  <si>
    <t>74-15</t>
  </si>
  <si>
    <t>Pool A Winner         (SAVAGE SHARKS)</t>
  </si>
  <si>
    <t>Pool B Runner Up       (WILD WOLVES)</t>
  </si>
  <si>
    <t>7:15pm - 8:30pm</t>
  </si>
  <si>
    <t>Pool B Winner            (STEALTHY PANTHERS)</t>
  </si>
  <si>
    <t>Pool A Runner Up         (FEROCIOUS TIGERS)</t>
  </si>
  <si>
    <t>5:00pm - 6:15pm</t>
  </si>
  <si>
    <t>L13 (WILD WOLVES)</t>
  </si>
  <si>
    <t>L14 (STEALTHY PANTHERS)</t>
  </si>
  <si>
    <t>6:00am - 7:00am</t>
  </si>
  <si>
    <t>W13 (SAVAGE SHARKS)</t>
  </si>
  <si>
    <t>W14 (FEROCIOUS TIGERS)</t>
  </si>
  <si>
    <t>MD</t>
  </si>
  <si>
    <t>POINT</t>
  </si>
  <si>
    <t>FOR</t>
  </si>
  <si>
    <t>AGAINST</t>
  </si>
  <si>
    <t>SD</t>
  </si>
  <si>
    <t>SD - Score Difference</t>
  </si>
  <si>
    <t>MD - Match Drawn</t>
  </si>
  <si>
    <t>MIghty lions</t>
  </si>
  <si>
    <t>Stealthy Panther</t>
  </si>
  <si>
    <t>8pm - 8:30pm</t>
  </si>
  <si>
    <t>Mighty lions</t>
  </si>
  <si>
    <t>8:30pm - 9:00pm</t>
  </si>
  <si>
    <t>11-0</t>
  </si>
  <si>
    <t>6pm - 6:30pm</t>
  </si>
  <si>
    <t>6:30pm - 7:00pm</t>
  </si>
  <si>
    <t>0-4</t>
  </si>
  <si>
    <t>6:15pm - 6:45pm</t>
  </si>
  <si>
    <t>6:45pm - 7:15pm</t>
  </si>
  <si>
    <t>L14 (MIGHTY LIONS)</t>
  </si>
  <si>
    <t>7:15am - 7:45am</t>
  </si>
  <si>
    <t>W13 (PANTHERS)</t>
  </si>
  <si>
    <t>W14 (TIGERS)</t>
  </si>
  <si>
    <t>7:30pm - 8:00pm</t>
  </si>
  <si>
    <t>BM</t>
  </si>
  <si>
    <t>MP(Counted)</t>
  </si>
  <si>
    <t>BA</t>
  </si>
  <si>
    <t>ROUND NO.</t>
  </si>
  <si>
    <t>STEALTHY PANTHERS (BTECH B22)</t>
  </si>
  <si>
    <t xml:space="preserve">FEROCIOUS TIGERS (MTECH) </t>
  </si>
  <si>
    <t>2pm - 2:45pm</t>
  </si>
  <si>
    <t>A01 - 001</t>
  </si>
  <si>
    <t>WILD WOLVES     (BTECH B23)</t>
  </si>
  <si>
    <t>BRAVE BULLS (MSc/MS)</t>
  </si>
  <si>
    <t>STALWART RHINOS (PhD)</t>
  </si>
  <si>
    <t xml:space="preserve">SAVAGE SHARKS (BTECH B21) </t>
  </si>
  <si>
    <t>MIGHTY LIONS (BTECH B24)</t>
  </si>
  <si>
    <t>MAJESTIC EAGLES (FACULTY/STAFF)</t>
  </si>
  <si>
    <t>3pm - 3:45pm</t>
  </si>
  <si>
    <t>ELIMINATION (IF TIED)</t>
  </si>
  <si>
    <t>MATCHES PLAYED</t>
  </si>
  <si>
    <t>MATCHES WON</t>
  </si>
  <si>
    <t>MATCHES DRAWN</t>
  </si>
  <si>
    <t>MATCHES LOST</t>
  </si>
  <si>
    <t>BOARDS WON</t>
  </si>
  <si>
    <t>BOARDS LOST</t>
  </si>
  <si>
    <t>BOARD DIFFERENCE</t>
  </si>
  <si>
    <t>MIGHTY LIONS    (BTECH B24)</t>
  </si>
  <si>
    <t>BRAVE BULLS       (MSc/MS)</t>
  </si>
  <si>
    <t>SCORE (Batted first in Bracket)</t>
  </si>
  <si>
    <t>5:15pm - 7:00pm</t>
  </si>
  <si>
    <t>6:10am - 8:00am</t>
  </si>
  <si>
    <t>8:15am - 10:00am</t>
  </si>
  <si>
    <t>Eagles won by 8 wickets</t>
  </si>
  <si>
    <t>Stalwart rhinos</t>
  </si>
  <si>
    <t>4:30pm - 6:30pm</t>
  </si>
  <si>
    <t>Rhinos Won by 42 runs against Lions</t>
  </si>
  <si>
    <t>Stalwart Rhinos won by 5 wickets</t>
  </si>
  <si>
    <t>Majestic Eagles won by 8 wickets</t>
  </si>
  <si>
    <t>Brave Bulls won by 24 runs against Lions</t>
  </si>
  <si>
    <t>WINNERS</t>
  </si>
  <si>
    <t>RHINOS</t>
  </si>
  <si>
    <t>6:10am - 8:10am</t>
  </si>
  <si>
    <t>Savage Sharks won by 7 wickets</t>
  </si>
  <si>
    <t>RUNNERS</t>
  </si>
  <si>
    <t>EAGLES</t>
  </si>
  <si>
    <t>Majestic Eagles won by 26 runs against Tigers</t>
  </si>
  <si>
    <t>13*</t>
  </si>
  <si>
    <t>Pool B Winner       (MAJESTIC EAGLES)</t>
  </si>
  <si>
    <t xml:space="preserve">Pool A Runner Up </t>
  </si>
  <si>
    <t>14*</t>
  </si>
  <si>
    <t xml:space="preserve">Pool A Winner   (STALWART RHINOS)           </t>
  </si>
  <si>
    <t xml:space="preserve">Pool B Runner Up          </t>
  </si>
  <si>
    <t>L13 (WOLVES)</t>
  </si>
  <si>
    <t>L14 (BULLS)</t>
  </si>
  <si>
    <t>3:00pm - 5:00pm</t>
  </si>
  <si>
    <t>W13 (RHINOS)</t>
  </si>
  <si>
    <t>W14 (EAGLES)</t>
  </si>
  <si>
    <t>6:30am - 9:30am</t>
  </si>
  <si>
    <t>NRR</t>
  </si>
  <si>
    <t>NRR - Net Run Rate</t>
  </si>
  <si>
    <t>6:30pm - 7:30pm</t>
  </si>
  <si>
    <t>Nila Football Ground</t>
  </si>
  <si>
    <t>4-0</t>
  </si>
  <si>
    <t>0-8</t>
  </si>
  <si>
    <t>Pool A Winner   (Tigers)</t>
  </si>
  <si>
    <t>Pool B Runner Up   (Eagles)</t>
  </si>
  <si>
    <t>8:30pm - 10:30pm</t>
  </si>
  <si>
    <t>Pool B Winner    (Rhinos)</t>
  </si>
  <si>
    <t>Pool A Runner Up    (Panthers)</t>
  </si>
  <si>
    <t>6:30pm - 8:30pm</t>
  </si>
  <si>
    <t>L13 (PANTHERS)</t>
  </si>
  <si>
    <t>L14 (TIGERS)</t>
  </si>
  <si>
    <t>5pm - 6:45pm</t>
  </si>
  <si>
    <t>W13 (EAGLES)</t>
  </si>
  <si>
    <t>W14 (RHINOS)</t>
  </si>
  <si>
    <t>7:30pm - 9:15pm</t>
  </si>
  <si>
    <t>NO. OF CARDS*</t>
  </si>
  <si>
    <t>NO. OF CARDS</t>
  </si>
  <si>
    <t>1 Yellow Card = 1</t>
  </si>
  <si>
    <t>2nd yellow in a match (Red)= 3</t>
  </si>
  <si>
    <t>PANTHERS</t>
  </si>
  <si>
    <t>LIONS</t>
  </si>
  <si>
    <t>WOLVES</t>
  </si>
  <si>
    <t>BULLS</t>
  </si>
  <si>
    <t>10:45am - 11:45am</t>
  </si>
  <si>
    <t>Malhar TT Room Table 1</t>
  </si>
  <si>
    <t>Malhar TT Room Table 2</t>
  </si>
  <si>
    <t>12noon - 1pm</t>
  </si>
  <si>
    <t>MIGHTY LIONS    (BTECH B20)</t>
  </si>
  <si>
    <t>Pool A Winner</t>
  </si>
  <si>
    <t>Pool B Runner Up</t>
  </si>
  <si>
    <t>Pool B Winner</t>
  </si>
  <si>
    <t>Pool A Runner Up</t>
  </si>
  <si>
    <t>L13</t>
  </si>
  <si>
    <t>L14</t>
  </si>
  <si>
    <t>W13</t>
  </si>
  <si>
    <t>W14</t>
  </si>
  <si>
    <t>12noon - 1:30pm</t>
  </si>
  <si>
    <t>9:30am - 10:45am</t>
  </si>
  <si>
    <t>10:45am - 12:00am</t>
  </si>
  <si>
    <t>2pm - 3:15pm</t>
  </si>
  <si>
    <t>4pm - 5:15pm</t>
  </si>
  <si>
    <t>Pool A Winner(Sharks)</t>
  </si>
  <si>
    <t>Pool B Runner Up(Tigers)</t>
  </si>
  <si>
    <t>Pool B Winner(Rhinos)</t>
  </si>
  <si>
    <t>Pool A Runner Up(Wolves)</t>
  </si>
  <si>
    <t>W14 (SHARKS)</t>
  </si>
  <si>
    <t>MATCH PLAYED</t>
  </si>
  <si>
    <t>MATCH WON</t>
  </si>
  <si>
    <t>MATCH LOST</t>
  </si>
  <si>
    <t>GAMES WON</t>
  </si>
  <si>
    <t>GAMES LOST</t>
  </si>
  <si>
    <t>GAME DIFFERENCE</t>
  </si>
  <si>
    <t>5:30pm - 6:30pm</t>
  </si>
  <si>
    <t>Saveri TT Room Table 1</t>
  </si>
  <si>
    <t>Saveri TT Room Table 2</t>
  </si>
  <si>
    <t xml:space="preserve">L13 </t>
  </si>
  <si>
    <t xml:space="preserve">L14 </t>
  </si>
  <si>
    <t xml:space="preserve">W13 </t>
  </si>
  <si>
    <t xml:space="preserve">W14 </t>
  </si>
  <si>
    <t>Starlwart Rhinos</t>
  </si>
  <si>
    <t>Nila Volleyball Court</t>
  </si>
  <si>
    <t>6pm - 7:15pm</t>
  </si>
  <si>
    <t>4:30pm - 5:30pm</t>
  </si>
  <si>
    <t>5pm - 6:15pm</t>
  </si>
  <si>
    <t>8:30pm - 9:30pm</t>
  </si>
  <si>
    <t xml:space="preserve">Pool A Winner       </t>
  </si>
  <si>
    <t xml:space="preserve">Pool B Runner Up </t>
  </si>
  <si>
    <t xml:space="preserve">Pool B Winner              </t>
  </si>
  <si>
    <t>7:00pm - 8:00pm</t>
  </si>
  <si>
    <t>5:00pm - 6:30pm</t>
  </si>
  <si>
    <t>6:30pm - 8:00pm</t>
  </si>
  <si>
    <t>2-0(WINS)</t>
  </si>
  <si>
    <t>2-1(WINS)</t>
  </si>
  <si>
    <t>1-2(LOSS)</t>
  </si>
  <si>
    <t>0-2(LOSS)</t>
  </si>
  <si>
    <t>6:30am - 7:30am</t>
  </si>
  <si>
    <t>7:30am - 8:30am</t>
  </si>
  <si>
    <t>8:30am - 9:30am</t>
  </si>
  <si>
    <t>RATIO</t>
  </si>
  <si>
    <t>VENUE/TIME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</si>
  <si>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</si>
  <si>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</si>
  <si>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</si>
  <si>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</si>
  <si>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</si>
  <si>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</si>
  <si>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</si>
  <si>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</si>
  <si>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</si>
  <si>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</si>
  <si>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COLOUR</t>
  </si>
  <si>
    <t>NILA FOOTBALL GROUND</t>
  </si>
  <si>
    <t>A1vsA2</t>
  </si>
  <si>
    <t>A3vsA4</t>
  </si>
  <si>
    <t>Athletics</t>
  </si>
  <si>
    <t>SAHYADRI GROUND</t>
  </si>
  <si>
    <t>Badminton</t>
  </si>
  <si>
    <t>SAHYADRI BASKETBALL COURT</t>
  </si>
  <si>
    <t>Basketball - Men</t>
  </si>
  <si>
    <t>MALHAR TT ROOM TABLE I</t>
  </si>
  <si>
    <t>Basketball - Women</t>
  </si>
  <si>
    <t>MALHAR TT ROOM TABLE II</t>
  </si>
  <si>
    <t>Chess</t>
  </si>
  <si>
    <t>AGORA AUDITORIUM</t>
  </si>
  <si>
    <t>Cricket</t>
  </si>
  <si>
    <t>NILA VOLLEYBALL COURT</t>
  </si>
  <si>
    <t>Football</t>
  </si>
  <si>
    <t>SARASWATI A01-001</t>
  </si>
  <si>
    <t>Table Tennis</t>
  </si>
  <si>
    <t>Volleyball - Men</t>
  </si>
  <si>
    <t>Volleyball - Women</t>
  </si>
  <si>
    <t>Opening/Closing Ceremony</t>
  </si>
  <si>
    <t>6:30 - 7:00</t>
  </si>
  <si>
    <t>7:00 - 7:30</t>
  </si>
  <si>
    <t>7:30 - 8:00</t>
  </si>
  <si>
    <t>8:00 - 8:30</t>
  </si>
  <si>
    <t>8:30 - 9:00</t>
  </si>
  <si>
    <t>9:00 - 9:30</t>
  </si>
  <si>
    <t>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</si>
  <si>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</si>
  <si>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</si>
  <si>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</si>
  <si>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</si>
  <si>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</si>
  <si>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</si>
  <si>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</si>
  <si>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</si>
  <si>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</si>
  <si>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</si>
  <si>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</si>
  <si>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</si>
  <si>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</si>
  <si>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FEROCIOUS TIGERS vs STALWART RHINOS</t>
  </si>
  <si>
    <t>SAVAGE SHARKS vs BRAVE BULLS</t>
  </si>
  <si>
    <t xml:space="preserve"> MIGHTY LIONS vs WILD WOLVES</t>
  </si>
  <si>
    <t>STEALTHY PANTHERS vs STALWART RHINOS</t>
  </si>
  <si>
    <t>OPENING CEREMONY</t>
  </si>
  <si>
    <t>KV BASKETBALL COURT</t>
  </si>
  <si>
    <t>STALWART RHINOS vs BRAVE BULLS</t>
  </si>
  <si>
    <t>SAVAGE SHARKS vs STEALTHY PANTHERS</t>
  </si>
  <si>
    <t>WILD WOLVES vs FEROCIOUS TIGERS</t>
  </si>
  <si>
    <t>MIGHTY LIONS vs MAJESTIC EAGLES</t>
  </si>
  <si>
    <t>WILD WOLVES vs SAVAGE SHARKS</t>
  </si>
  <si>
    <t>STALWART RHINOS vs MAJESTIC EAGLES</t>
  </si>
  <si>
    <t>STEALTHY PANTHERS vs FEROCIOUS TIGERS</t>
  </si>
  <si>
    <t>BRAVE BULLS vs MIGHTY LIONS</t>
  </si>
  <si>
    <t>STALWART RHINOS vs MIGHTY LIONS</t>
  </si>
  <si>
    <t>WILD WOLVES vs MAJESTIC EAGLES</t>
  </si>
  <si>
    <t>BRAVE BULLS vs STALWART RHINOS</t>
  </si>
  <si>
    <t>MIGHTY LIONS vs SAVAGE SHARKS</t>
  </si>
  <si>
    <t>STEALTHY PANTHERS vs MAJESTIC EAGLES</t>
  </si>
  <si>
    <t>FEROCIOUS TIGERS vs WILD WOLVES</t>
  </si>
  <si>
    <t>ROUND I</t>
  </si>
  <si>
    <t>ROUND II</t>
  </si>
  <si>
    <t>WILD WOLVES vs STEALTHY PANTHERS</t>
  </si>
  <si>
    <t>MAJESTIC EAGLES vs MIGHTY LIONS</t>
  </si>
  <si>
    <t>MIGHTY LIONS vs BRAVE BULLS</t>
  </si>
  <si>
    <t>STALWART RHINOS vs SAVAGE SHARKS</t>
  </si>
  <si>
    <t>BRAVE BULLS vs STEALTHY PANTHERS</t>
  </si>
  <si>
    <t>MIGHTY LIONS vs WILD WOLVES</t>
  </si>
  <si>
    <t>FEROCIOUS TIGERS vs STEALTHY PANTHERS</t>
  </si>
  <si>
    <t>WILD WOLVES vs MIGHTY LIONS</t>
  </si>
  <si>
    <t>FEROCIOUS TIGERS vs MAJESTIC EAGLES</t>
  </si>
  <si>
    <t>WILD WOLVES vs STALWART RHINOS</t>
  </si>
  <si>
    <t>SAVAGE SHARKS vs MAJESTIC EAGLES</t>
  </si>
  <si>
    <t>FEROCIOUS TIGERS vs MIGHTY LIONS</t>
  </si>
  <si>
    <t>MAJESTIC EAGLES vs STEALTHY PANTHERS</t>
  </si>
  <si>
    <t>SAVAGE SHARKS vs STALWART RHINOS</t>
  </si>
  <si>
    <t>WILD WOLVES vs BRAVE BULLS</t>
  </si>
  <si>
    <t>MAJESTIC EAGLES vs WILD WOLVES</t>
  </si>
  <si>
    <t>ROUND III</t>
  </si>
  <si>
    <t>ROUND IV</t>
  </si>
  <si>
    <t>STEALTHY PANTHERS vs BRAVE BULLS</t>
  </si>
  <si>
    <t>FEROCIOUS TIGERS vs SAVAGE SHARKS</t>
  </si>
  <si>
    <t>BRAVE BULLS vs MAJESTIC EAGLES</t>
  </si>
  <si>
    <t>STEALTHY PANTHERS vs SAVAGE SHARKS</t>
  </si>
  <si>
    <t>STALWART RHINOS vs FEROCIOUS TIGERS</t>
  </si>
  <si>
    <t>STALWART RHINOS vs STEALTHY PANTHERS</t>
  </si>
  <si>
    <t>BRAVE BULLS vs SAVAGE SHARKS</t>
  </si>
  <si>
    <t>STEALTHY PANTHERS vs MIGHTY LIONS</t>
  </si>
  <si>
    <t>FEROCIOUS TIGERS vs BRAVE BULLS</t>
  </si>
  <si>
    <t>SAVAGE SHARKS vs MIGHTY LIONS</t>
  </si>
  <si>
    <t>STEALTHY PANTHERS vs WILD WOLVES</t>
  </si>
  <si>
    <t>MAJESTIC EAGLES vs FEROCIOUS TIGERS</t>
  </si>
  <si>
    <t>ROUND V</t>
  </si>
  <si>
    <t>ROUND VI</t>
  </si>
  <si>
    <t>SEMI I</t>
  </si>
  <si>
    <t>SEMI II</t>
  </si>
  <si>
    <t>ROUND VII</t>
  </si>
  <si>
    <t>21:30 - 22:00</t>
  </si>
  <si>
    <t>22:00 - 22:30</t>
  </si>
  <si>
    <t>MIGHTY LIONS vs FEROCIOUS TIGERS</t>
  </si>
  <si>
    <t>SAVAGE SHARKS vs WILD WOLVES</t>
  </si>
  <si>
    <t>ELIMINATION/TIE BREAK</t>
  </si>
  <si>
    <t>6:00 - 6:30</t>
  </si>
  <si>
    <t>CLOSING CEREMONY</t>
  </si>
  <si>
    <t>Panthers won by 5 wickets</t>
  </si>
  <si>
    <t>Tigers won by 10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</si>
</sst>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dd\,\ mmmm\ d"/>
    <numFmt numFmtId="165" formatCode="m\-d"/>
    <numFmt numFmtId="166" formatCode="0.0000"/>
    <numFmt numFmtId="167" formatCode="0.0"/>
  </numFmts>
  <fonts count="28">
    <font>
      <sz val="10"/>
      <color rgb="FF000000"/>
      <name val="Arial"/>
      <scheme val="minor"/>
    </font>
    <font>
      <b/>
      <sz val="17"/>
      <color theme="1"/>
      <name val="EB Garamond"/>
    </font>
    <font>
      <sz val="17"/>
      <color theme="1"/>
      <name val="EB Garamond"/>
    </font>
    <font>
      <sz val="17"/>
      <color theme="1"/>
      <name val="Arial"/>
      <family val="2"/>
    </font>
    <font>
      <b/>
      <sz val="15"/>
      <color theme="1"/>
      <name val="EB Garamond"/>
    </font>
    <font>
      <b/>
      <sz val="18"/>
      <color theme="1"/>
      <name val="EB Garamond"/>
    </font>
    <font>
      <sz val="15"/>
      <color theme="1"/>
      <name val="EB Garamond"/>
    </font>
    <font>
      <b/>
      <sz val="30"/>
      <color theme="1"/>
      <name val="EB Garamond"/>
    </font>
    <font>
      <sz val="10"/>
      <name val="Arial"/>
      <family val="2"/>
    </font>
    <font>
      <sz val="10"/>
      <color theme="1"/>
      <name val="EB Garamond"/>
    </font>
    <font>
      <b/>
      <sz val="14"/>
      <color theme="1"/>
      <name val="EB Garamond"/>
    </font>
    <font>
      <b/>
      <sz val="25"/>
      <color theme="1"/>
      <name val="EB Garamond"/>
    </font>
    <font>
      <sz val="14"/>
      <color theme="1"/>
      <name val="EB Garamond"/>
    </font>
    <font>
      <sz val="14"/>
      <color theme="1"/>
      <name val="Arial"/>
      <family val="2"/>
    </font>
    <font>
      <sz val="30"/>
      <color theme="1"/>
      <name val="EB Garamond"/>
    </font>
    <font>
      <sz val="20"/>
      <color theme="1"/>
      <name val="EB Garamond"/>
    </font>
    <font>
      <sz val="15"/>
      <color rgb="FF000000"/>
      <name val="EB Garamond"/>
    </font>
    <font>
      <sz val="13"/>
      <color theme="1"/>
      <name val="EB Garamond"/>
    </font>
    <font>
      <sz val="11"/>
      <color theme="1"/>
      <name val="EB Garamond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25"/>
      <color theme="1"/>
      <name val="EB Garamond"/>
    </font>
    <font>
      <sz val="12"/>
      <color theme="1"/>
      <name val="EB Garamond"/>
    </font>
    <font>
      <sz val="10"/>
      <color theme="1"/>
      <name val="Arial"/>
      <family val="2"/>
    </font>
    <font>
      <sz val="9"/>
      <color rgb="FF212529"/>
      <name val="&quot;Source Sans 3&quot;"/>
    </font>
    <font>
      <b/>
      <sz val="10"/>
      <color rgb="FFAD2112"/>
      <name val="Inherit"/>
    </font>
    <font>
      <sz val="12"/>
      <color theme="1"/>
      <name val="Arial"/>
      <family val="2"/>
    </font>
    <font>
      <sz val="20"/>
      <color rgb="FF000000"/>
      <name val="EB Garamond"/>
    </font>
  </fonts>
  <fills count="2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783F04"/>
        <bgColor rgb="FF783F04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7F7F7"/>
        <bgColor rgb="FFF7F7F7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left" vertical="center"/>
    </xf>
    <xf numFmtId="0" fontId="19" fillId="0" borderId="36" xfId="0" applyFont="1" applyBorder="1" applyAlignment="1">
      <alignment horizontal="left" vertical="center"/>
    </xf>
    <xf numFmtId="0" fontId="19" fillId="0" borderId="37" xfId="0" applyFont="1" applyBorder="1" applyAlignment="1">
      <alignment horizontal="left" vertical="center"/>
    </xf>
    <xf numFmtId="0" fontId="19" fillId="0" borderId="38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19" fillId="0" borderId="40" xfId="0" applyFont="1" applyBorder="1" applyAlignment="1">
      <alignment vertical="center"/>
    </xf>
    <xf numFmtId="0" fontId="19" fillId="0" borderId="41" xfId="0" applyFont="1" applyBorder="1" applyAlignment="1">
      <alignment vertical="center"/>
    </xf>
    <xf numFmtId="0" fontId="19" fillId="0" borderId="42" xfId="0" applyFont="1" applyBorder="1" applyAlignment="1">
      <alignment vertical="center"/>
    </xf>
    <xf numFmtId="0" fontId="19" fillId="0" borderId="43" xfId="0" applyFont="1" applyBorder="1" applyAlignment="1">
      <alignment vertical="center"/>
    </xf>
    <xf numFmtId="0" fontId="20" fillId="0" borderId="39" xfId="0" applyFont="1" applyBorder="1" applyAlignment="1">
      <alignment vertical="center"/>
    </xf>
    <xf numFmtId="0" fontId="20" fillId="0" borderId="42" xfId="0" applyFont="1" applyBorder="1" applyAlignment="1">
      <alignment vertical="center"/>
    </xf>
    <xf numFmtId="0" fontId="19" fillId="0" borderId="44" xfId="0" applyFont="1" applyBorder="1" applyAlignment="1">
      <alignment vertical="center"/>
    </xf>
    <xf numFmtId="0" fontId="19" fillId="0" borderId="45" xfId="0" applyFont="1" applyBorder="1" applyAlignment="1">
      <alignment vertical="center"/>
    </xf>
    <xf numFmtId="0" fontId="19" fillId="0" borderId="46" xfId="0" applyFont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164" fontId="6" fillId="6" borderId="0" xfId="0" applyNumberFormat="1" applyFont="1" applyFill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5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7" fillId="6" borderId="1" xfId="0" applyFont="1" applyFill="1" applyBorder="1" applyAlignment="1">
      <alignment horizontal="center" wrapText="1"/>
    </xf>
    <xf numFmtId="0" fontId="17" fillId="6" borderId="3" xfId="0" applyFont="1" applyFill="1" applyBorder="1" applyAlignment="1">
      <alignment horizontal="center" wrapText="1"/>
    </xf>
    <xf numFmtId="0" fontId="9" fillId="0" borderId="18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17" fillId="6" borderId="10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22" fillId="0" borderId="48" xfId="0" applyFont="1" applyBorder="1" applyAlignment="1">
      <alignment horizontal="center" vertical="center" wrapText="1"/>
    </xf>
    <xf numFmtId="0" fontId="23" fillId="0" borderId="1" xfId="0" applyFont="1" applyBorder="1"/>
    <xf numFmtId="0" fontId="6" fillId="6" borderId="0" xfId="0" applyFont="1" applyFill="1" applyAlignment="1">
      <alignment horizontal="center" vertical="center"/>
    </xf>
    <xf numFmtId="0" fontId="23" fillId="0" borderId="0" xfId="0" applyFont="1"/>
    <xf numFmtId="0" fontId="6" fillId="10" borderId="1" xfId="0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0" fontId="23" fillId="6" borderId="0" xfId="0" applyFont="1" applyFill="1"/>
    <xf numFmtId="0" fontId="1" fillId="1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15" fillId="0" borderId="13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164" fontId="6" fillId="7" borderId="10" xfId="0" applyNumberFormat="1" applyFont="1" applyFill="1" applyBorder="1" applyAlignment="1">
      <alignment horizontal="center" vertical="center" wrapText="1"/>
    </xf>
    <xf numFmtId="164" fontId="6" fillId="8" borderId="10" xfId="0" applyNumberFormat="1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19" fillId="0" borderId="0" xfId="0" applyFont="1"/>
    <xf numFmtId="164" fontId="6" fillId="6" borderId="10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3" fillId="0" borderId="2" xfId="0" applyFont="1" applyBorder="1"/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23" fillId="0" borderId="18" xfId="0" applyFont="1" applyBorder="1"/>
    <xf numFmtId="0" fontId="12" fillId="12" borderId="1" xfId="0" applyFont="1" applyFill="1" applyBorder="1" applyAlignment="1">
      <alignment horizontal="center" wrapText="1"/>
    </xf>
    <xf numFmtId="0" fontId="17" fillId="12" borderId="1" xfId="0" applyFont="1" applyFill="1" applyBorder="1" applyAlignment="1">
      <alignment horizontal="center" wrapText="1"/>
    </xf>
    <xf numFmtId="0" fontId="23" fillId="6" borderId="1" xfId="0" applyFont="1" applyFill="1" applyBorder="1"/>
    <xf numFmtId="0" fontId="12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23" fillId="0" borderId="10" xfId="0" applyFont="1" applyBorder="1"/>
    <xf numFmtId="0" fontId="6" fillId="0" borderId="51" xfId="0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24" fillId="6" borderId="0" xfId="0" applyFont="1" applyFill="1"/>
    <xf numFmtId="0" fontId="25" fillId="0" borderId="0" xfId="0" applyFont="1"/>
    <xf numFmtId="0" fontId="24" fillId="14" borderId="0" xfId="0" applyFont="1" applyFill="1"/>
    <xf numFmtId="0" fontId="4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15" fillId="0" borderId="20" xfId="0" applyFont="1" applyBorder="1" applyAlignment="1">
      <alignment horizontal="center" vertical="center" wrapText="1"/>
    </xf>
    <xf numFmtId="164" fontId="6" fillId="7" borderId="20" xfId="0" applyNumberFormat="1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165" fontId="1" fillId="7" borderId="20" xfId="0" applyNumberFormat="1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164" fontId="6" fillId="8" borderId="20" xfId="0" applyNumberFormat="1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165" fontId="1" fillId="8" borderId="20" xfId="0" applyNumberFormat="1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164" fontId="6" fillId="6" borderId="20" xfId="0" applyNumberFormat="1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6" fillId="7" borderId="56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164" fontId="6" fillId="8" borderId="56" xfId="0" applyNumberFormat="1" applyFont="1" applyFill="1" applyBorder="1" applyAlignment="1">
      <alignment horizontal="center" vertical="center" wrapText="1"/>
    </xf>
    <xf numFmtId="0" fontId="6" fillId="8" borderId="56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/>
    </xf>
    <xf numFmtId="164" fontId="6" fillId="7" borderId="56" xfId="0" applyNumberFormat="1" applyFont="1" applyFill="1" applyBorder="1" applyAlignment="1">
      <alignment horizontal="center" vertical="center" wrapText="1"/>
    </xf>
    <xf numFmtId="165" fontId="1" fillId="8" borderId="56" xfId="0" applyNumberFormat="1" applyFont="1" applyFill="1" applyBorder="1" applyAlignment="1">
      <alignment horizontal="center" vertical="center"/>
    </xf>
    <xf numFmtId="0" fontId="1" fillId="8" borderId="5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64" fontId="6" fillId="0" borderId="1" xfId="0" applyNumberFormat="1" applyFont="1" applyBorder="1" applyAlignment="1">
      <alignment horizont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166" fontId="12" fillId="6" borderId="1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" fillId="8" borderId="56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165" fontId="1" fillId="7" borderId="56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67" fontId="17" fillId="0" borderId="3" xfId="0" applyNumberFormat="1" applyFont="1" applyBorder="1" applyAlignment="1">
      <alignment horizontal="center" vertical="center" wrapText="1"/>
    </xf>
    <xf numFmtId="167" fontId="17" fillId="0" borderId="1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 wrapText="1"/>
    </xf>
    <xf numFmtId="0" fontId="22" fillId="17" borderId="56" xfId="0" applyFont="1" applyFill="1" applyBorder="1" applyAlignment="1">
      <alignment horizontal="center" vertical="center"/>
    </xf>
    <xf numFmtId="0" fontId="22" fillId="19" borderId="56" xfId="0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 wrapText="1"/>
    </xf>
    <xf numFmtId="0" fontId="22" fillId="20" borderId="56" xfId="0" applyFont="1" applyFill="1" applyBorder="1" applyAlignment="1">
      <alignment horizontal="center" vertical="center"/>
    </xf>
    <xf numFmtId="0" fontId="22" fillId="21" borderId="56" xfId="0" applyFont="1" applyFill="1" applyBorder="1" applyAlignment="1">
      <alignment horizontal="center" vertical="center"/>
    </xf>
    <xf numFmtId="0" fontId="26" fillId="22" borderId="56" xfId="0" applyFont="1" applyFill="1" applyBorder="1" applyAlignment="1">
      <alignment horizontal="center" vertical="center"/>
    </xf>
    <xf numFmtId="0" fontId="22" fillId="18" borderId="56" xfId="0" applyFont="1" applyFill="1" applyBorder="1" applyAlignment="1">
      <alignment horizontal="center" vertical="center"/>
    </xf>
    <xf numFmtId="0" fontId="22" fillId="16" borderId="56" xfId="0" applyFont="1" applyFill="1" applyBorder="1" applyAlignment="1">
      <alignment horizontal="center" vertical="center"/>
    </xf>
    <xf numFmtId="0" fontId="22" fillId="24" borderId="56" xfId="0" applyFont="1" applyFill="1" applyBorder="1" applyAlignment="1">
      <alignment horizontal="center" vertical="center"/>
    </xf>
    <xf numFmtId="0" fontId="22" fillId="23" borderId="56" xfId="0" applyFont="1" applyFill="1" applyBorder="1" applyAlignment="1">
      <alignment horizontal="center" vertical="center"/>
    </xf>
    <xf numFmtId="0" fontId="22" fillId="0" borderId="0" xfId="0" applyFont="1"/>
    <xf numFmtId="0" fontId="22" fillId="25" borderId="56" xfId="0" applyFont="1" applyFill="1" applyBorder="1" applyAlignment="1">
      <alignment horizontal="center" vertical="center"/>
    </xf>
    <xf numFmtId="0" fontId="26" fillId="26" borderId="56" xfId="0" applyFont="1" applyFill="1" applyBorder="1" applyAlignment="1">
      <alignment horizontal="center" vertical="center"/>
    </xf>
    <xf numFmtId="0" fontId="22" fillId="21" borderId="56" xfId="0" applyFont="1" applyFill="1" applyBorder="1" applyAlignment="1">
      <alignment horizontal="center" vertical="center" wrapText="1"/>
    </xf>
    <xf numFmtId="0" fontId="22" fillId="21" borderId="4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/>
    <xf numFmtId="0" fontId="12" fillId="0" borderId="3" xfId="0" applyFont="1" applyBorder="1" applyAlignment="1">
      <alignment horizontal="center" vertical="center"/>
    </xf>
    <xf numFmtId="0" fontId="8" fillId="0" borderId="13" xfId="0" applyFont="1" applyBorder="1"/>
    <xf numFmtId="0" fontId="8" fillId="0" borderId="11" xfId="0" applyFont="1" applyBorder="1"/>
    <xf numFmtId="0" fontId="12" fillId="0" borderId="16" xfId="0" applyFont="1" applyBorder="1" applyAlignment="1">
      <alignment horizontal="center" vertical="center"/>
    </xf>
    <xf numFmtId="0" fontId="8" fillId="0" borderId="14" xfId="0" applyFont="1" applyBorder="1"/>
    <xf numFmtId="0" fontId="8" fillId="0" borderId="17" xfId="0" applyFont="1" applyBorder="1"/>
    <xf numFmtId="0" fontId="8" fillId="0" borderId="15" xfId="0" applyFont="1" applyBorder="1"/>
    <xf numFmtId="0" fontId="8" fillId="0" borderId="19" xfId="0" applyFont="1" applyBorder="1"/>
    <xf numFmtId="0" fontId="8" fillId="0" borderId="20" xfId="0" applyFont="1" applyBorder="1"/>
    <xf numFmtId="0" fontId="7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12" xfId="0" applyFont="1" applyBorder="1"/>
    <xf numFmtId="0" fontId="8" fillId="0" borderId="21" xfId="0" applyFont="1" applyBorder="1"/>
    <xf numFmtId="0" fontId="9" fillId="0" borderId="1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3" fillId="0" borderId="15" xfId="0" applyFont="1" applyBorder="1"/>
    <xf numFmtId="0" fontId="7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8" fillId="0" borderId="10" xfId="0" applyFont="1" applyBorder="1"/>
    <xf numFmtId="0" fontId="6" fillId="0" borderId="2" xfId="0" applyFont="1" applyBorder="1" applyAlignment="1">
      <alignment horizontal="center" vertical="center" wrapText="1"/>
    </xf>
    <xf numFmtId="0" fontId="8" fillId="0" borderId="18" xfId="0" applyFont="1" applyBorder="1"/>
    <xf numFmtId="0" fontId="6" fillId="0" borderId="16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8" fillId="0" borderId="51" xfId="0" applyFont="1" applyBorder="1"/>
    <xf numFmtId="0" fontId="21" fillId="0" borderId="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 wrapText="1"/>
    </xf>
    <xf numFmtId="0" fontId="8" fillId="0" borderId="49" xfId="0" applyFont="1" applyBorder="1"/>
    <xf numFmtId="0" fontId="8" fillId="0" borderId="50" xfId="0" applyFont="1" applyBorder="1"/>
    <xf numFmtId="0" fontId="11" fillId="2" borderId="3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8" fillId="0" borderId="53" xfId="0" applyFont="1" applyBorder="1"/>
    <xf numFmtId="0" fontId="8" fillId="0" borderId="54" xfId="0" applyFont="1" applyBorder="1"/>
    <xf numFmtId="0" fontId="8" fillId="0" borderId="55" xfId="0" applyFont="1" applyBorder="1"/>
    <xf numFmtId="0" fontId="17" fillId="0" borderId="19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6" fillId="0" borderId="47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52" xfId="0" applyFont="1" applyBorder="1" applyAlignment="1">
      <alignment horizontal="center" wrapText="1"/>
    </xf>
    <xf numFmtId="0" fontId="23" fillId="0" borderId="0" xfId="0" applyFont="1"/>
    <xf numFmtId="0" fontId="6" fillId="13" borderId="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8" fillId="0" borderId="8" xfId="0" applyFont="1" applyBorder="1"/>
    <xf numFmtId="0" fontId="6" fillId="0" borderId="19" xfId="0" applyFont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2" fillId="23" borderId="48" xfId="0" applyFont="1" applyFill="1" applyBorder="1" applyAlignment="1">
      <alignment horizontal="center" vertical="center" wrapText="1"/>
    </xf>
    <xf numFmtId="0" fontId="12" fillId="16" borderId="48" xfId="0" applyFont="1" applyFill="1" applyBorder="1" applyAlignment="1">
      <alignment horizontal="center" vertical="center" wrapText="1"/>
    </xf>
    <xf numFmtId="0" fontId="22" fillId="16" borderId="48" xfId="0" applyFont="1" applyFill="1" applyBorder="1" applyAlignment="1">
      <alignment horizontal="center" vertical="center" wrapText="1"/>
    </xf>
    <xf numFmtId="0" fontId="22" fillId="18" borderId="48" xfId="0" applyFont="1" applyFill="1" applyBorder="1" applyAlignment="1">
      <alignment horizontal="center" vertical="center" wrapText="1"/>
    </xf>
    <xf numFmtId="0" fontId="22" fillId="20" borderId="49" xfId="0" applyFont="1" applyFill="1" applyBorder="1" applyAlignment="1">
      <alignment horizontal="center" vertical="center" wrapText="1"/>
    </xf>
    <xf numFmtId="0" fontId="22" fillId="19" borderId="48" xfId="0" applyFont="1" applyFill="1" applyBorder="1" applyAlignment="1">
      <alignment horizontal="center" vertical="center" wrapText="1"/>
    </xf>
    <xf numFmtId="0" fontId="22" fillId="20" borderId="48" xfId="0" applyFont="1" applyFill="1" applyBorder="1" applyAlignment="1">
      <alignment horizontal="center" vertical="center" wrapText="1"/>
    </xf>
    <xf numFmtId="0" fontId="22" fillId="25" borderId="48" xfId="0" applyFont="1" applyFill="1" applyBorder="1" applyAlignment="1">
      <alignment horizontal="center" vertical="center" wrapText="1"/>
    </xf>
    <xf numFmtId="0" fontId="23" fillId="0" borderId="48" xfId="0" applyFont="1" applyBorder="1"/>
    <xf numFmtId="0" fontId="22" fillId="24" borderId="48" xfId="0" applyFont="1" applyFill="1" applyBorder="1" applyAlignment="1">
      <alignment horizontal="center" vertical="center" wrapText="1"/>
    </xf>
    <xf numFmtId="0" fontId="22" fillId="22" borderId="48" xfId="0" applyFont="1" applyFill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17" borderId="48" xfId="0" applyFont="1" applyFill="1" applyBorder="1" applyAlignment="1">
      <alignment horizontal="center" vertical="center" wrapText="1"/>
    </xf>
    <xf numFmtId="0" fontId="22" fillId="26" borderId="48" xfId="0" applyFont="1" applyFill="1" applyBorder="1" applyAlignment="1">
      <alignment horizontal="center" vertical="center" wrapText="1"/>
    </xf>
    <xf numFmtId="0" fontId="22" fillId="17" borderId="48" xfId="0" applyFont="1" applyFill="1" applyBorder="1" applyAlignment="1">
      <alignment horizontal="center" vertical="center"/>
    </xf>
    <xf numFmtId="0" fontId="22" fillId="21" borderId="48" xfId="0" applyFont="1" applyFill="1" applyBorder="1" applyAlignment="1">
      <alignment horizontal="center" vertical="center" wrapText="1"/>
    </xf>
    <xf numFmtId="0" fontId="22" fillId="26" borderId="48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THLETICS TABLE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54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R12">
  <autoFilter ref="A3:R12" xr:uid="{00000000-0009-0000-0100-000001000000}"/>
  <tableColumns count="18">
    <tableColumn id="1" xr3:uid="{00000000-0010-0000-0000-000001000000}" name="TEAM NAME"/>
    <tableColumn id="2" xr3:uid="{00000000-0010-0000-0000-000002000000}" name="Column 1"/>
    <tableColumn id="3" xr3:uid="{00000000-0010-0000-0000-000003000000}" name="100M (MEN)"/>
    <tableColumn id="4" xr3:uid="{00000000-0010-0000-0000-000004000000}" name="100M (W)"/>
    <tableColumn id="5" xr3:uid="{00000000-0010-0000-0000-000005000000}" name="200M(M)"/>
    <tableColumn id="6" xr3:uid="{00000000-0010-0000-0000-000006000000}" name="200M(W)"/>
    <tableColumn id="7" xr3:uid="{00000000-0010-0000-0000-000007000000}" name="400M(M)"/>
    <tableColumn id="8" xr3:uid="{00000000-0010-0000-0000-000008000000}" name="400M(W)"/>
    <tableColumn id="9" xr3:uid="{00000000-0010-0000-0000-000009000000}" name="800M"/>
    <tableColumn id="10" xr3:uid="{00000000-0010-0000-0000-00000A000000}" name="1500"/>
    <tableColumn id="11" xr3:uid="{00000000-0010-0000-0000-00000B000000}" name="4*100(M)"/>
    <tableColumn id="12" xr3:uid="{00000000-0010-0000-0000-00000C000000}" name="4*100(W)"/>
    <tableColumn id="13" xr3:uid="{00000000-0010-0000-0000-00000D000000}" name="SHOTPUT(M)"/>
    <tableColumn id="14" xr3:uid="{00000000-0010-0000-0000-00000E000000}" name="SHOTPUT(W)"/>
    <tableColumn id="15" xr3:uid="{00000000-0010-0000-0000-00000F000000}" name="JAVELIN"/>
    <tableColumn id="16" xr3:uid="{00000000-0010-0000-0000-000010000000}" name="HAMMER"/>
    <tableColumn id="17" xr3:uid="{00000000-0010-0000-0000-000011000000}" name="DISCUSS"/>
    <tableColumn id="18" xr3:uid="{00000000-0010-0000-0000-000012000000}" name="TOTAL"/>
  </tableColumns>
  <tableStyleInfo name="ATHLETICS TAB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37.6640625" customWidth="1"/>
    <col min="2" max="2" width="19.44140625" customWidth="1"/>
  </cols>
  <sheetData>
    <row r="1" spans="1:26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1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1" t="s">
        <v>14</v>
      </c>
      <c r="B8" s="2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42.109375" customWidth="1"/>
    <col min="2" max="2" width="13.77734375" customWidth="1"/>
    <col min="3" max="3" width="18.6640625" customWidth="1"/>
    <col min="4" max="4" width="16.44140625" customWidth="1"/>
    <col min="5" max="5" width="14.77734375" customWidth="1"/>
    <col min="6" max="6" width="14" customWidth="1"/>
    <col min="7" max="7" width="17.33203125" customWidth="1"/>
    <col min="8" max="8" width="17.88671875" customWidth="1"/>
    <col min="9" max="9" width="14" customWidth="1"/>
  </cols>
  <sheetData>
    <row r="1" spans="1:10" ht="96.75" customHeight="1">
      <c r="A1" s="4"/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6"/>
    </row>
    <row r="2" spans="1:10" ht="37.5" customHeight="1">
      <c r="A2" s="7" t="s">
        <v>24</v>
      </c>
      <c r="B2" s="8">
        <v>0</v>
      </c>
      <c r="C2" s="9">
        <v>0</v>
      </c>
      <c r="D2" s="9">
        <v>0</v>
      </c>
      <c r="E2" s="9">
        <v>0</v>
      </c>
      <c r="F2" s="9">
        <v>4</v>
      </c>
      <c r="G2" s="9">
        <v>8</v>
      </c>
      <c r="H2" s="9">
        <v>12</v>
      </c>
      <c r="I2" s="10">
        <v>20</v>
      </c>
      <c r="J2" s="229"/>
    </row>
    <row r="3" spans="1:10" ht="36.75" customHeight="1">
      <c r="A3" s="7" t="s">
        <v>25</v>
      </c>
      <c r="B3" s="11">
        <v>0</v>
      </c>
      <c r="C3" s="12">
        <v>0</v>
      </c>
      <c r="D3" s="12">
        <v>0</v>
      </c>
      <c r="E3" s="12">
        <v>2</v>
      </c>
      <c r="F3" s="12">
        <v>6</v>
      </c>
      <c r="G3" s="12">
        <v>10</v>
      </c>
      <c r="H3" s="12">
        <v>0</v>
      </c>
      <c r="I3" s="13">
        <v>4</v>
      </c>
      <c r="J3" s="230"/>
    </row>
    <row r="4" spans="1:10" ht="38.25" customHeight="1">
      <c r="A4" s="14" t="s">
        <v>26</v>
      </c>
      <c r="B4" s="11">
        <v>0</v>
      </c>
      <c r="C4" s="12">
        <v>0</v>
      </c>
      <c r="D4" s="12">
        <v>0</v>
      </c>
      <c r="E4" s="12">
        <v>6</v>
      </c>
      <c r="F4" s="12">
        <v>2</v>
      </c>
      <c r="G4" s="12">
        <v>10</v>
      </c>
      <c r="H4" s="12">
        <v>4</v>
      </c>
      <c r="I4" s="13">
        <v>0</v>
      </c>
      <c r="J4" s="230"/>
    </row>
    <row r="5" spans="1:10" ht="36" customHeight="1">
      <c r="A5" s="7" t="s">
        <v>27</v>
      </c>
      <c r="B5" s="11">
        <v>0</v>
      </c>
      <c r="C5" s="12">
        <v>6</v>
      </c>
      <c r="D5" s="12">
        <v>0</v>
      </c>
      <c r="E5" s="12">
        <v>0</v>
      </c>
      <c r="F5" s="12">
        <v>10</v>
      </c>
      <c r="G5" s="12">
        <v>0</v>
      </c>
      <c r="H5" s="12">
        <v>4</v>
      </c>
      <c r="I5" s="13">
        <v>2</v>
      </c>
      <c r="J5" s="230"/>
    </row>
    <row r="6" spans="1:10" ht="36" customHeight="1">
      <c r="A6" s="7" t="s">
        <v>28</v>
      </c>
      <c r="B6" s="11">
        <v>0</v>
      </c>
      <c r="C6" s="12">
        <v>6</v>
      </c>
      <c r="D6" s="12">
        <v>0</v>
      </c>
      <c r="E6" s="12">
        <v>2</v>
      </c>
      <c r="F6" s="12">
        <v>0</v>
      </c>
      <c r="G6" s="12">
        <v>0</v>
      </c>
      <c r="H6" s="12">
        <v>10</v>
      </c>
      <c r="I6" s="13">
        <v>4</v>
      </c>
      <c r="J6" s="230"/>
    </row>
    <row r="7" spans="1:10" ht="37.5" customHeight="1">
      <c r="A7" s="7" t="s">
        <v>29</v>
      </c>
      <c r="B7" s="11">
        <v>0</v>
      </c>
      <c r="C7" s="12">
        <v>2</v>
      </c>
      <c r="D7" s="12">
        <v>0</v>
      </c>
      <c r="E7" s="12">
        <v>0</v>
      </c>
      <c r="F7" s="12">
        <v>10</v>
      </c>
      <c r="G7" s="12">
        <v>6</v>
      </c>
      <c r="H7" s="12">
        <v>0</v>
      </c>
      <c r="I7" s="13">
        <v>4</v>
      </c>
      <c r="J7" s="230"/>
    </row>
    <row r="8" spans="1:10" ht="37.5" customHeight="1">
      <c r="A8" s="7" t="s">
        <v>30</v>
      </c>
      <c r="B8" s="11">
        <v>2</v>
      </c>
      <c r="C8" s="12">
        <v>0</v>
      </c>
      <c r="D8" s="12">
        <v>6</v>
      </c>
      <c r="E8" s="12">
        <v>0</v>
      </c>
      <c r="F8" s="12">
        <v>0</v>
      </c>
      <c r="G8" s="12">
        <v>10</v>
      </c>
      <c r="H8" s="12">
        <v>0</v>
      </c>
      <c r="I8" s="13">
        <v>4</v>
      </c>
      <c r="J8" s="230"/>
    </row>
    <row r="9" spans="1:10" ht="36" customHeight="1">
      <c r="A9" s="7" t="s">
        <v>31</v>
      </c>
      <c r="B9" s="11">
        <v>0</v>
      </c>
      <c r="C9" s="12">
        <v>4</v>
      </c>
      <c r="D9" s="12">
        <v>10</v>
      </c>
      <c r="E9" s="12">
        <v>0</v>
      </c>
      <c r="F9" s="12">
        <v>0</v>
      </c>
      <c r="G9" s="12">
        <v>6</v>
      </c>
      <c r="H9" s="12">
        <v>2</v>
      </c>
      <c r="I9" s="13">
        <v>0</v>
      </c>
      <c r="J9" s="230"/>
    </row>
    <row r="10" spans="1:10" ht="36.75" customHeight="1">
      <c r="A10" s="7" t="s">
        <v>32</v>
      </c>
      <c r="B10" s="11">
        <v>0</v>
      </c>
      <c r="C10" s="12">
        <v>4</v>
      </c>
      <c r="D10" s="12">
        <v>0</v>
      </c>
      <c r="E10" s="12">
        <v>0</v>
      </c>
      <c r="F10" s="12">
        <v>6</v>
      </c>
      <c r="G10" s="12">
        <v>10</v>
      </c>
      <c r="H10" s="12">
        <v>0</v>
      </c>
      <c r="I10" s="13">
        <v>2</v>
      </c>
      <c r="J10" s="230"/>
    </row>
    <row r="11" spans="1:10" ht="36" customHeight="1">
      <c r="A11" s="7" t="s">
        <v>33</v>
      </c>
      <c r="B11" s="11">
        <v>0</v>
      </c>
      <c r="C11" s="12">
        <v>0</v>
      </c>
      <c r="D11" s="12">
        <v>0</v>
      </c>
      <c r="E11" s="12">
        <v>0</v>
      </c>
      <c r="F11" s="12">
        <v>6</v>
      </c>
      <c r="G11" s="12">
        <v>10</v>
      </c>
      <c r="H11" s="12">
        <v>4</v>
      </c>
      <c r="I11" s="13">
        <v>2</v>
      </c>
      <c r="J11" s="230"/>
    </row>
    <row r="12" spans="1:10" ht="32.25" customHeight="1">
      <c r="A12" s="7" t="s">
        <v>34</v>
      </c>
      <c r="B12" s="12">
        <v>0</v>
      </c>
      <c r="C12" s="12">
        <v>0</v>
      </c>
      <c r="D12" s="12">
        <v>10</v>
      </c>
      <c r="E12" s="12">
        <v>2</v>
      </c>
      <c r="F12" s="12">
        <v>0</v>
      </c>
      <c r="G12" s="12">
        <v>6</v>
      </c>
      <c r="H12" s="12">
        <v>0</v>
      </c>
      <c r="I12" s="13">
        <v>4</v>
      </c>
      <c r="J12" s="230"/>
    </row>
    <row r="13" spans="1:10" ht="33" customHeight="1">
      <c r="A13" s="7" t="s">
        <v>35</v>
      </c>
      <c r="B13" s="12">
        <v>0</v>
      </c>
      <c r="C13" s="12">
        <v>0</v>
      </c>
      <c r="D13" s="12">
        <v>0</v>
      </c>
      <c r="E13" s="12">
        <v>0</v>
      </c>
      <c r="F13" s="12">
        <v>4</v>
      </c>
      <c r="G13" s="12">
        <v>2</v>
      </c>
      <c r="H13" s="12">
        <v>6</v>
      </c>
      <c r="I13" s="13">
        <v>10</v>
      </c>
      <c r="J13" s="230"/>
    </row>
    <row r="14" spans="1:10" ht="33" customHeight="1">
      <c r="A14" s="15" t="s">
        <v>36</v>
      </c>
      <c r="B14" s="16">
        <f t="shared" ref="B14:I14" si="0">SUM(B2:B13)</f>
        <v>2</v>
      </c>
      <c r="C14" s="16">
        <f t="shared" si="0"/>
        <v>22</v>
      </c>
      <c r="D14" s="16">
        <f t="shared" si="0"/>
        <v>26</v>
      </c>
      <c r="E14" s="16">
        <f t="shared" si="0"/>
        <v>12</v>
      </c>
      <c r="F14" s="16">
        <f t="shared" si="0"/>
        <v>48</v>
      </c>
      <c r="G14" s="16">
        <f t="shared" si="0"/>
        <v>78</v>
      </c>
      <c r="H14" s="16">
        <f t="shared" si="0"/>
        <v>42</v>
      </c>
      <c r="I14" s="16">
        <f t="shared" si="0"/>
        <v>56</v>
      </c>
      <c r="J14" s="230"/>
    </row>
    <row r="15" spans="1:10" ht="33" customHeight="1">
      <c r="A15" s="17" t="s">
        <v>37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2</v>
      </c>
      <c r="J15" s="6"/>
    </row>
    <row r="16" spans="1:10" ht="33" customHeight="1">
      <c r="A16" s="15" t="s">
        <v>38</v>
      </c>
      <c r="B16" s="15">
        <f t="shared" ref="B16:I16" si="1">B14-B15</f>
        <v>2</v>
      </c>
      <c r="C16" s="15">
        <f t="shared" si="1"/>
        <v>22</v>
      </c>
      <c r="D16" s="15">
        <f t="shared" si="1"/>
        <v>26</v>
      </c>
      <c r="E16" s="15">
        <f t="shared" si="1"/>
        <v>12</v>
      </c>
      <c r="F16" s="15">
        <f t="shared" si="1"/>
        <v>48</v>
      </c>
      <c r="G16" s="15">
        <f t="shared" si="1"/>
        <v>78</v>
      </c>
      <c r="H16" s="15">
        <f t="shared" si="1"/>
        <v>42</v>
      </c>
      <c r="I16" s="15">
        <f t="shared" si="1"/>
        <v>54</v>
      </c>
    </row>
    <row r="17" spans="1:10" ht="33" customHeight="1">
      <c r="B17" s="17" t="s">
        <v>39</v>
      </c>
      <c r="C17" s="17" t="s">
        <v>40</v>
      </c>
      <c r="D17" s="17" t="s">
        <v>41</v>
      </c>
      <c r="E17" s="17" t="s">
        <v>42</v>
      </c>
      <c r="F17" s="18" t="s">
        <v>43</v>
      </c>
      <c r="G17" s="19" t="s">
        <v>44</v>
      </c>
      <c r="H17" s="17" t="s">
        <v>45</v>
      </c>
      <c r="I17" s="20" t="s">
        <v>46</v>
      </c>
    </row>
    <row r="18" spans="1:10" ht="33" customHeight="1">
      <c r="A18" s="229" t="s">
        <v>47</v>
      </c>
      <c r="B18" s="230"/>
      <c r="C18" s="230"/>
      <c r="D18" s="230"/>
      <c r="E18" s="230"/>
      <c r="F18" s="230"/>
      <c r="G18" s="230"/>
      <c r="H18" s="230"/>
      <c r="I18" s="230"/>
      <c r="J18" s="230"/>
    </row>
    <row r="19" spans="1:10" ht="15.75" customHeight="1">
      <c r="A19" s="229"/>
      <c r="B19" s="230"/>
      <c r="C19" s="230"/>
      <c r="D19" s="230"/>
      <c r="E19" s="230"/>
      <c r="F19" s="230"/>
      <c r="G19" s="230"/>
      <c r="H19" s="230"/>
      <c r="I19" s="230"/>
      <c r="J19" s="230"/>
    </row>
    <row r="20" spans="1:10" ht="30.75" customHeight="1">
      <c r="A20" s="15" t="s">
        <v>48</v>
      </c>
      <c r="B20" s="15" t="s">
        <v>39</v>
      </c>
      <c r="C20" s="15" t="s">
        <v>40</v>
      </c>
      <c r="D20" s="15" t="s">
        <v>42</v>
      </c>
      <c r="E20" s="15" t="s">
        <v>45</v>
      </c>
      <c r="F20" s="15" t="s">
        <v>45</v>
      </c>
      <c r="G20" s="15" t="s">
        <v>44</v>
      </c>
      <c r="H20" s="15" t="s">
        <v>46</v>
      </c>
      <c r="I20" s="15" t="s">
        <v>43</v>
      </c>
      <c r="J20" s="6"/>
    </row>
    <row r="21" spans="1:10" ht="15.75" customHeight="1"/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2:J14"/>
    <mergeCell ref="A18:J18"/>
    <mergeCell ref="A19:J19"/>
  </mergeCells>
  <conditionalFormatting sqref="G17">
    <cfRule type="notContainsBlanks" dxfId="1" priority="1">
      <formula>LEN(TRIM(G17))&gt;0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K1000"/>
  <sheetViews>
    <sheetView workbookViewId="0"/>
  </sheetViews>
  <sheetFormatPr defaultColWidth="12.6640625" defaultRowHeight="15" customHeight="1"/>
  <cols>
    <col min="1" max="1" width="5.33203125" customWidth="1"/>
    <col min="2" max="2" width="31.77734375" customWidth="1"/>
    <col min="3" max="3" width="33.21875" customWidth="1"/>
    <col min="4" max="4" width="16.109375" customWidth="1"/>
    <col min="7" max="7" width="18" customWidth="1"/>
    <col min="10" max="10" width="14.77734375" customWidth="1"/>
  </cols>
  <sheetData>
    <row r="1" spans="1:11" ht="62.25" customHeight="1">
      <c r="A1" s="240"/>
      <c r="B1" s="248" t="s">
        <v>49</v>
      </c>
      <c r="C1" s="233"/>
      <c r="D1" s="241"/>
      <c r="E1" s="242" t="s">
        <v>50</v>
      </c>
      <c r="F1" s="232"/>
      <c r="G1" s="232"/>
      <c r="H1" s="232"/>
      <c r="I1" s="232"/>
      <c r="J1" s="233"/>
      <c r="K1" s="246"/>
    </row>
    <row r="2" spans="1:11" ht="45" customHeight="1">
      <c r="A2" s="230"/>
      <c r="B2" s="22" t="s">
        <v>51</v>
      </c>
      <c r="C2" s="22" t="s">
        <v>52</v>
      </c>
      <c r="D2" s="230"/>
      <c r="E2" s="242" t="s">
        <v>53</v>
      </c>
      <c r="F2" s="232"/>
      <c r="G2" s="233"/>
      <c r="H2" s="242" t="s">
        <v>54</v>
      </c>
      <c r="I2" s="232"/>
      <c r="J2" s="233"/>
      <c r="K2" s="237"/>
    </row>
    <row r="3" spans="1:11" ht="32.25" customHeight="1">
      <c r="A3" s="230"/>
      <c r="B3" s="15" t="s">
        <v>55</v>
      </c>
      <c r="C3" s="15" t="s">
        <v>56</v>
      </c>
      <c r="D3" s="230"/>
      <c r="E3" s="234" t="s">
        <v>24</v>
      </c>
      <c r="F3" s="235"/>
      <c r="G3" s="23" t="s">
        <v>57</v>
      </c>
      <c r="H3" s="234" t="s">
        <v>24</v>
      </c>
      <c r="I3" s="235"/>
      <c r="J3" s="247"/>
      <c r="K3" s="237"/>
    </row>
    <row r="4" spans="1:11" ht="30" customHeight="1">
      <c r="A4" s="230"/>
      <c r="B4" s="15" t="s">
        <v>58</v>
      </c>
      <c r="C4" s="15" t="s">
        <v>59</v>
      </c>
      <c r="D4" s="230"/>
      <c r="E4" s="236"/>
      <c r="F4" s="237"/>
      <c r="G4" s="23" t="s">
        <v>60</v>
      </c>
      <c r="H4" s="236"/>
      <c r="I4" s="237"/>
      <c r="J4" s="237"/>
      <c r="K4" s="237"/>
    </row>
    <row r="5" spans="1:11" ht="32.25" customHeight="1">
      <c r="A5" s="230"/>
      <c r="B5" s="15" t="s">
        <v>61</v>
      </c>
      <c r="C5" s="15" t="s">
        <v>62</v>
      </c>
      <c r="D5" s="230"/>
      <c r="E5" s="236"/>
      <c r="F5" s="237"/>
      <c r="G5" s="23" t="s">
        <v>63</v>
      </c>
      <c r="H5" s="236"/>
      <c r="I5" s="237"/>
      <c r="J5" s="23" t="s">
        <v>57</v>
      </c>
      <c r="K5" s="237"/>
    </row>
    <row r="6" spans="1:11" ht="32.25" customHeight="1">
      <c r="A6" s="230"/>
      <c r="B6" s="15" t="s">
        <v>64</v>
      </c>
      <c r="C6" s="15" t="s">
        <v>65</v>
      </c>
      <c r="D6" s="230"/>
      <c r="E6" s="236"/>
      <c r="F6" s="237"/>
      <c r="G6" s="23" t="s">
        <v>66</v>
      </c>
      <c r="H6" s="236"/>
      <c r="I6" s="237"/>
      <c r="J6" s="23" t="s">
        <v>60</v>
      </c>
      <c r="K6" s="237"/>
    </row>
    <row r="7" spans="1:11" ht="29.25" customHeight="1">
      <c r="A7" s="230"/>
      <c r="B7" s="249"/>
      <c r="C7" s="230"/>
      <c r="D7" s="230"/>
      <c r="E7" s="236"/>
      <c r="F7" s="237"/>
      <c r="G7" s="23" t="s">
        <v>67</v>
      </c>
      <c r="H7" s="236"/>
      <c r="I7" s="237"/>
      <c r="J7" s="23" t="s">
        <v>63</v>
      </c>
      <c r="K7" s="237"/>
    </row>
    <row r="8" spans="1:11" ht="29.25" customHeight="1">
      <c r="A8" s="230"/>
      <c r="B8" s="236"/>
      <c r="C8" s="230"/>
      <c r="D8" s="230"/>
      <c r="E8" s="236"/>
      <c r="F8" s="237"/>
      <c r="G8" s="24" t="s">
        <v>68</v>
      </c>
      <c r="H8" s="236"/>
      <c r="I8" s="237"/>
      <c r="J8" s="24" t="s">
        <v>68</v>
      </c>
      <c r="K8" s="237"/>
    </row>
    <row r="9" spans="1:11" ht="29.25" customHeight="1">
      <c r="A9" s="230"/>
      <c r="B9" s="236"/>
      <c r="C9" s="230"/>
      <c r="D9" s="230"/>
      <c r="E9" s="236"/>
      <c r="F9" s="237"/>
      <c r="G9" s="24" t="s">
        <v>69</v>
      </c>
      <c r="H9" s="236"/>
      <c r="I9" s="237"/>
      <c r="J9" s="23" t="s">
        <v>70</v>
      </c>
      <c r="K9" s="237"/>
    </row>
    <row r="10" spans="1:11" ht="32.25" customHeight="1">
      <c r="A10" s="230"/>
      <c r="B10" s="236"/>
      <c r="C10" s="230"/>
      <c r="D10" s="230"/>
      <c r="E10" s="236"/>
      <c r="F10" s="237"/>
      <c r="G10" s="23" t="s">
        <v>70</v>
      </c>
      <c r="H10" s="236"/>
      <c r="I10" s="237"/>
      <c r="J10" s="250"/>
      <c r="K10" s="237"/>
    </row>
    <row r="11" spans="1:11" ht="32.25" customHeight="1">
      <c r="A11" s="230"/>
      <c r="B11" s="236"/>
      <c r="C11" s="230"/>
      <c r="D11" s="230"/>
      <c r="E11" s="238"/>
      <c r="F11" s="239"/>
      <c r="G11" s="23" t="s">
        <v>71</v>
      </c>
      <c r="H11" s="238"/>
      <c r="I11" s="239"/>
      <c r="J11" s="251"/>
      <c r="K11" s="237"/>
    </row>
    <row r="12" spans="1:11" ht="32.25" customHeight="1">
      <c r="A12" s="230"/>
      <c r="B12" s="236"/>
      <c r="C12" s="230"/>
      <c r="D12" s="230"/>
      <c r="E12" s="231" t="s">
        <v>72</v>
      </c>
      <c r="F12" s="232"/>
      <c r="G12" s="233"/>
      <c r="H12" s="231" t="s">
        <v>72</v>
      </c>
      <c r="I12" s="232"/>
      <c r="J12" s="233"/>
      <c r="K12" s="237"/>
    </row>
    <row r="13" spans="1:11" ht="30" customHeight="1">
      <c r="A13" s="230"/>
      <c r="B13" s="236"/>
      <c r="C13" s="230"/>
      <c r="D13" s="230"/>
      <c r="E13" s="231" t="s">
        <v>73</v>
      </c>
      <c r="F13" s="232"/>
      <c r="G13" s="233"/>
      <c r="H13" s="231" t="s">
        <v>73</v>
      </c>
      <c r="I13" s="232"/>
      <c r="J13" s="233"/>
      <c r="K13" s="237"/>
    </row>
    <row r="14" spans="1:11" ht="30" customHeight="1">
      <c r="A14" s="230"/>
      <c r="B14" s="236"/>
      <c r="C14" s="230"/>
      <c r="D14" s="230"/>
      <c r="E14" s="231" t="s">
        <v>74</v>
      </c>
      <c r="F14" s="232"/>
      <c r="G14" s="233"/>
      <c r="H14" s="234" t="s">
        <v>74</v>
      </c>
      <c r="I14" s="243"/>
      <c r="J14" s="235"/>
      <c r="K14" s="237"/>
    </row>
    <row r="15" spans="1:11" ht="30" customHeight="1">
      <c r="A15" s="230"/>
      <c r="B15" s="236"/>
      <c r="C15" s="230"/>
      <c r="D15" s="230"/>
      <c r="E15" s="231" t="s">
        <v>30</v>
      </c>
      <c r="F15" s="232"/>
      <c r="G15" s="233"/>
      <c r="H15" s="231" t="s">
        <v>75</v>
      </c>
      <c r="I15" s="232"/>
      <c r="J15" s="233"/>
      <c r="K15" s="237"/>
    </row>
    <row r="16" spans="1:11" ht="31.5" customHeight="1">
      <c r="A16" s="230"/>
      <c r="B16" s="236"/>
      <c r="C16" s="230"/>
      <c r="D16" s="230"/>
      <c r="E16" s="231" t="s">
        <v>31</v>
      </c>
      <c r="F16" s="232"/>
      <c r="G16" s="233"/>
      <c r="H16" s="234"/>
      <c r="I16" s="243"/>
      <c r="J16" s="235"/>
      <c r="K16" s="237"/>
    </row>
    <row r="17" spans="1:11" ht="23.25" customHeight="1">
      <c r="A17" s="230"/>
      <c r="B17" s="236"/>
      <c r="C17" s="230"/>
      <c r="D17" s="230"/>
      <c r="E17" s="231" t="s">
        <v>75</v>
      </c>
      <c r="F17" s="232"/>
      <c r="G17" s="233"/>
      <c r="H17" s="238"/>
      <c r="I17" s="244"/>
      <c r="J17" s="239"/>
      <c r="K17" s="237"/>
    </row>
    <row r="18" spans="1:11" ht="15.75" customHeight="1">
      <c r="A18" s="230"/>
      <c r="B18" s="236"/>
      <c r="C18" s="230"/>
      <c r="D18" s="230"/>
      <c r="E18" s="231" t="s">
        <v>76</v>
      </c>
      <c r="F18" s="232"/>
      <c r="G18" s="232"/>
      <c r="H18" s="232"/>
      <c r="I18" s="232"/>
      <c r="J18" s="233"/>
      <c r="K18" s="237"/>
    </row>
    <row r="19" spans="1:11" ht="15.75" customHeight="1">
      <c r="A19" s="21"/>
      <c r="B19" s="245"/>
      <c r="C19" s="244"/>
      <c r="D19" s="244"/>
      <c r="E19" s="244"/>
      <c r="F19" s="244"/>
      <c r="G19" s="244"/>
      <c r="H19" s="244"/>
      <c r="I19" s="244"/>
      <c r="J19" s="244"/>
      <c r="K19" s="239"/>
    </row>
    <row r="20" spans="1:11" ht="15.75" customHeight="1"/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9:J19"/>
    <mergeCell ref="K1:K19"/>
    <mergeCell ref="E2:G2"/>
    <mergeCell ref="H2:J2"/>
    <mergeCell ref="J3:J4"/>
    <mergeCell ref="B1:C1"/>
    <mergeCell ref="B7:C18"/>
    <mergeCell ref="J10:J11"/>
    <mergeCell ref="E12:G12"/>
    <mergeCell ref="H12:J12"/>
    <mergeCell ref="E13:G13"/>
    <mergeCell ref="H13:J13"/>
    <mergeCell ref="E14:G14"/>
    <mergeCell ref="H14:J14"/>
    <mergeCell ref="E15:G15"/>
    <mergeCell ref="H15:J15"/>
    <mergeCell ref="E16:G16"/>
    <mergeCell ref="E3:F11"/>
    <mergeCell ref="H3:I11"/>
    <mergeCell ref="A1:A18"/>
    <mergeCell ref="D1:D18"/>
    <mergeCell ref="E1:J1"/>
    <mergeCell ref="H16:J17"/>
    <mergeCell ref="E17:G17"/>
    <mergeCell ref="E18:J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1"/>
  <sheetViews>
    <sheetView topLeftCell="A40" workbookViewId="0">
      <selection sqref="A1:I1"/>
    </sheetView>
  </sheetViews>
  <sheetFormatPr defaultColWidth="12.6640625" defaultRowHeight="15" customHeight="1"/>
  <cols>
    <col min="1" max="1" width="11.77734375" customWidth="1"/>
    <col min="2" max="2" width="20.77734375" customWidth="1"/>
    <col min="3" max="3" width="11.77734375" customWidth="1"/>
    <col min="4" max="4" width="25.77734375" customWidth="1"/>
    <col min="5" max="5" width="19.6640625" customWidth="1"/>
    <col min="6" max="6" width="20.6640625" customWidth="1"/>
    <col min="7" max="7" width="25.21875" customWidth="1"/>
    <col min="8" max="8" width="18.21875" customWidth="1"/>
    <col min="9" max="10" width="21" customWidth="1"/>
  </cols>
  <sheetData>
    <row r="1" spans="1:10" ht="45">
      <c r="A1" s="258" t="s">
        <v>24</v>
      </c>
      <c r="B1" s="230"/>
      <c r="C1" s="230"/>
      <c r="D1" s="230"/>
      <c r="E1" s="230"/>
      <c r="F1" s="230"/>
      <c r="G1" s="230"/>
      <c r="H1" s="230"/>
      <c r="I1" s="230"/>
      <c r="J1" s="26"/>
    </row>
    <row r="2" spans="1:10" ht="45">
      <c r="A2" s="259"/>
      <c r="B2" s="232"/>
      <c r="C2" s="233"/>
      <c r="D2" s="259" t="s">
        <v>77</v>
      </c>
      <c r="E2" s="232"/>
      <c r="F2" s="233"/>
      <c r="G2" s="259" t="s">
        <v>78</v>
      </c>
      <c r="H2" s="232"/>
      <c r="I2" s="233"/>
      <c r="J2" s="262"/>
    </row>
    <row r="3" spans="1:10" ht="30.6">
      <c r="A3" s="27"/>
      <c r="B3" s="263" t="s">
        <v>79</v>
      </c>
      <c r="C3" s="233"/>
      <c r="D3" s="27" t="s">
        <v>80</v>
      </c>
      <c r="E3" s="27" t="s">
        <v>81</v>
      </c>
      <c r="F3" s="27" t="s">
        <v>82</v>
      </c>
      <c r="G3" s="27" t="s">
        <v>80</v>
      </c>
      <c r="H3" s="27" t="s">
        <v>81</v>
      </c>
      <c r="I3" s="27" t="s">
        <v>82</v>
      </c>
      <c r="J3" s="230"/>
    </row>
    <row r="4" spans="1:10" ht="22.8">
      <c r="A4" s="252" t="s">
        <v>83</v>
      </c>
      <c r="B4" s="252" t="s">
        <v>57</v>
      </c>
      <c r="C4" s="30" t="s">
        <v>84</v>
      </c>
      <c r="D4" s="255">
        <v>45716</v>
      </c>
      <c r="E4" s="252" t="s">
        <v>85</v>
      </c>
      <c r="F4" s="252" t="s">
        <v>86</v>
      </c>
      <c r="G4" s="255">
        <v>45716</v>
      </c>
      <c r="H4" s="252" t="s">
        <v>87</v>
      </c>
      <c r="I4" s="252" t="s">
        <v>86</v>
      </c>
      <c r="J4" s="230"/>
    </row>
    <row r="5" spans="1:10" ht="22.8">
      <c r="A5" s="253"/>
      <c r="B5" s="253"/>
      <c r="C5" s="30" t="s">
        <v>88</v>
      </c>
      <c r="D5" s="253"/>
      <c r="E5" s="253"/>
      <c r="F5" s="253"/>
      <c r="G5" s="253"/>
      <c r="H5" s="253"/>
      <c r="I5" s="253"/>
      <c r="J5" s="230"/>
    </row>
    <row r="6" spans="1:10" ht="22.8">
      <c r="A6" s="253"/>
      <c r="B6" s="253"/>
      <c r="C6" s="30" t="s">
        <v>89</v>
      </c>
      <c r="D6" s="253"/>
      <c r="E6" s="253"/>
      <c r="F6" s="253"/>
      <c r="G6" s="253"/>
      <c r="H6" s="253"/>
      <c r="I6" s="253"/>
      <c r="J6" s="230"/>
    </row>
    <row r="7" spans="1:10" ht="22.8">
      <c r="A7" s="253"/>
      <c r="B7" s="251"/>
      <c r="C7" s="30" t="s">
        <v>90</v>
      </c>
      <c r="D7" s="251"/>
      <c r="E7" s="251"/>
      <c r="F7" s="251"/>
      <c r="G7" s="251"/>
      <c r="H7" s="251"/>
      <c r="I7" s="251"/>
      <c r="J7" s="230"/>
    </row>
    <row r="8" spans="1:10" ht="22.8">
      <c r="A8" s="253"/>
      <c r="B8" s="252" t="s">
        <v>63</v>
      </c>
      <c r="C8" s="30" t="s">
        <v>84</v>
      </c>
      <c r="D8" s="255">
        <v>45719</v>
      </c>
      <c r="E8" s="252" t="s">
        <v>91</v>
      </c>
      <c r="F8" s="252" t="s">
        <v>86</v>
      </c>
      <c r="G8" s="255">
        <v>45719</v>
      </c>
      <c r="H8" s="252" t="s">
        <v>92</v>
      </c>
      <c r="I8" s="252" t="s">
        <v>86</v>
      </c>
      <c r="J8" s="230"/>
    </row>
    <row r="9" spans="1:10" ht="22.8">
      <c r="A9" s="253"/>
      <c r="B9" s="253"/>
      <c r="C9" s="30" t="s">
        <v>88</v>
      </c>
      <c r="D9" s="253"/>
      <c r="E9" s="253"/>
      <c r="F9" s="253"/>
      <c r="G9" s="253"/>
      <c r="H9" s="253"/>
      <c r="I9" s="253"/>
      <c r="J9" s="230"/>
    </row>
    <row r="10" spans="1:10" ht="22.8">
      <c r="A10" s="253"/>
      <c r="B10" s="253"/>
      <c r="C10" s="30" t="s">
        <v>89</v>
      </c>
      <c r="D10" s="253"/>
      <c r="E10" s="253"/>
      <c r="F10" s="253"/>
      <c r="G10" s="253"/>
      <c r="H10" s="253"/>
      <c r="I10" s="253"/>
      <c r="J10" s="230"/>
    </row>
    <row r="11" spans="1:10" ht="22.8">
      <c r="A11" s="253"/>
      <c r="B11" s="251"/>
      <c r="C11" s="30" t="s">
        <v>90</v>
      </c>
      <c r="D11" s="251"/>
      <c r="E11" s="251"/>
      <c r="F11" s="251"/>
      <c r="G11" s="251"/>
      <c r="H11" s="251"/>
      <c r="I11" s="251"/>
      <c r="J11" s="230"/>
    </row>
    <row r="12" spans="1:10" ht="22.8">
      <c r="A12" s="253"/>
      <c r="B12" s="252" t="s">
        <v>60</v>
      </c>
      <c r="C12" s="30" t="s">
        <v>84</v>
      </c>
      <c r="D12" s="255">
        <v>45720</v>
      </c>
      <c r="E12" s="252" t="s">
        <v>91</v>
      </c>
      <c r="F12" s="252" t="s">
        <v>86</v>
      </c>
      <c r="G12" s="255">
        <v>45720</v>
      </c>
      <c r="H12" s="252" t="s">
        <v>92</v>
      </c>
      <c r="I12" s="252" t="s">
        <v>86</v>
      </c>
      <c r="J12" s="230"/>
    </row>
    <row r="13" spans="1:10" ht="22.8">
      <c r="A13" s="253"/>
      <c r="B13" s="253"/>
      <c r="C13" s="30" t="s">
        <v>88</v>
      </c>
      <c r="D13" s="253"/>
      <c r="E13" s="253"/>
      <c r="F13" s="253"/>
      <c r="G13" s="253"/>
      <c r="H13" s="253"/>
      <c r="I13" s="253"/>
      <c r="J13" s="230"/>
    </row>
    <row r="14" spans="1:10" ht="22.8">
      <c r="A14" s="253"/>
      <c r="B14" s="253"/>
      <c r="C14" s="30" t="s">
        <v>89</v>
      </c>
      <c r="D14" s="253"/>
      <c r="E14" s="253"/>
      <c r="F14" s="253"/>
      <c r="G14" s="253"/>
      <c r="H14" s="253"/>
      <c r="I14" s="253"/>
      <c r="J14" s="230"/>
    </row>
    <row r="15" spans="1:10" ht="22.8">
      <c r="A15" s="253"/>
      <c r="B15" s="251"/>
      <c r="C15" s="30" t="s">
        <v>90</v>
      </c>
      <c r="D15" s="251"/>
      <c r="E15" s="251"/>
      <c r="F15" s="251"/>
      <c r="G15" s="251"/>
      <c r="H15" s="251"/>
      <c r="I15" s="251"/>
      <c r="J15" s="230"/>
    </row>
    <row r="16" spans="1:10" ht="22.8">
      <c r="A16" s="253"/>
      <c r="B16" s="252" t="s">
        <v>93</v>
      </c>
      <c r="C16" s="30" t="s">
        <v>84</v>
      </c>
      <c r="D16" s="255">
        <v>45722</v>
      </c>
      <c r="E16" s="252" t="s">
        <v>91</v>
      </c>
      <c r="F16" s="264" t="s">
        <v>86</v>
      </c>
      <c r="G16" s="255">
        <v>45722</v>
      </c>
      <c r="H16" s="252" t="s">
        <v>92</v>
      </c>
      <c r="I16" s="264" t="s">
        <v>86</v>
      </c>
      <c r="J16" s="230"/>
    </row>
    <row r="17" spans="1:10" ht="22.8">
      <c r="A17" s="253"/>
      <c r="B17" s="251"/>
      <c r="C17" s="30" t="s">
        <v>88</v>
      </c>
      <c r="D17" s="251"/>
      <c r="E17" s="251"/>
      <c r="F17" s="251"/>
      <c r="G17" s="251"/>
      <c r="H17" s="251"/>
      <c r="I17" s="251"/>
      <c r="J17" s="230"/>
    </row>
    <row r="18" spans="1:10" ht="22.8">
      <c r="A18" s="253"/>
      <c r="B18" s="252" t="s">
        <v>66</v>
      </c>
      <c r="C18" s="30" t="s">
        <v>84</v>
      </c>
      <c r="D18" s="255">
        <v>45723</v>
      </c>
      <c r="E18" s="252" t="s">
        <v>91</v>
      </c>
      <c r="F18" s="252" t="s">
        <v>86</v>
      </c>
      <c r="G18" s="254"/>
      <c r="H18" s="243"/>
      <c r="I18" s="235"/>
      <c r="J18" s="230"/>
    </row>
    <row r="19" spans="1:10" ht="22.8">
      <c r="A19" s="253"/>
      <c r="B19" s="253"/>
      <c r="C19" s="30" t="s">
        <v>88</v>
      </c>
      <c r="D19" s="253"/>
      <c r="E19" s="253"/>
      <c r="F19" s="253"/>
      <c r="G19" s="236"/>
      <c r="H19" s="230"/>
      <c r="I19" s="237"/>
      <c r="J19" s="230"/>
    </row>
    <row r="20" spans="1:10" ht="22.8">
      <c r="A20" s="253"/>
      <c r="B20" s="253"/>
      <c r="C20" s="30" t="s">
        <v>89</v>
      </c>
      <c r="D20" s="253"/>
      <c r="E20" s="253"/>
      <c r="F20" s="253"/>
      <c r="G20" s="236"/>
      <c r="H20" s="230"/>
      <c r="I20" s="237"/>
      <c r="J20" s="230"/>
    </row>
    <row r="21" spans="1:10" ht="22.8">
      <c r="A21" s="251"/>
      <c r="B21" s="251"/>
      <c r="C21" s="30" t="s">
        <v>90</v>
      </c>
      <c r="D21" s="251"/>
      <c r="E21" s="251"/>
      <c r="F21" s="251"/>
      <c r="G21" s="238"/>
      <c r="H21" s="244"/>
      <c r="I21" s="239"/>
      <c r="J21" s="230"/>
    </row>
    <row r="22" spans="1:10" ht="22.8">
      <c r="A22" s="254"/>
      <c r="B22" s="243"/>
      <c r="C22" s="235"/>
      <c r="D22" s="254"/>
      <c r="E22" s="243"/>
      <c r="F22" s="243"/>
      <c r="G22" s="243"/>
      <c r="H22" s="243"/>
      <c r="I22" s="235"/>
      <c r="J22" s="230"/>
    </row>
    <row r="23" spans="1:10" ht="45.6">
      <c r="A23" s="252" t="s">
        <v>94</v>
      </c>
      <c r="B23" s="30" t="s">
        <v>57</v>
      </c>
      <c r="C23" s="252"/>
      <c r="D23" s="31">
        <v>45725</v>
      </c>
      <c r="E23" s="30" t="s">
        <v>95</v>
      </c>
      <c r="F23" s="30" t="s">
        <v>86</v>
      </c>
      <c r="G23" s="31">
        <v>45725</v>
      </c>
      <c r="H23" s="30" t="s">
        <v>96</v>
      </c>
      <c r="I23" s="30" t="s">
        <v>86</v>
      </c>
      <c r="J23" s="230"/>
    </row>
    <row r="24" spans="1:10" ht="45.6">
      <c r="A24" s="253"/>
      <c r="B24" s="30" t="s">
        <v>63</v>
      </c>
      <c r="C24" s="253"/>
      <c r="D24" s="31">
        <v>45725</v>
      </c>
      <c r="E24" s="30" t="s">
        <v>97</v>
      </c>
      <c r="F24" s="30" t="s">
        <v>86</v>
      </c>
      <c r="G24" s="31">
        <v>45725</v>
      </c>
      <c r="H24" s="30" t="s">
        <v>98</v>
      </c>
      <c r="I24" s="30" t="s">
        <v>86</v>
      </c>
      <c r="J24" s="230"/>
    </row>
    <row r="25" spans="1:10" ht="45.6">
      <c r="A25" s="253"/>
      <c r="B25" s="30" t="s">
        <v>60</v>
      </c>
      <c r="C25" s="253"/>
      <c r="D25" s="31">
        <v>45725</v>
      </c>
      <c r="E25" s="30" t="s">
        <v>99</v>
      </c>
      <c r="F25" s="30" t="s">
        <v>86</v>
      </c>
      <c r="G25" s="31">
        <v>45725</v>
      </c>
      <c r="H25" s="30" t="s">
        <v>100</v>
      </c>
      <c r="I25" s="30" t="s">
        <v>86</v>
      </c>
      <c r="J25" s="230"/>
    </row>
    <row r="26" spans="1:10" ht="22.8">
      <c r="A26" s="253"/>
      <c r="B26" s="30" t="s">
        <v>66</v>
      </c>
      <c r="C26" s="253"/>
      <c r="D26" s="31">
        <v>45725</v>
      </c>
      <c r="E26" s="30" t="s">
        <v>101</v>
      </c>
      <c r="F26" s="30" t="s">
        <v>86</v>
      </c>
      <c r="G26" s="260"/>
      <c r="H26" s="232"/>
      <c r="I26" s="233"/>
      <c r="J26" s="230"/>
    </row>
    <row r="27" spans="1:10" ht="45.6">
      <c r="A27" s="253"/>
      <c r="B27" s="30" t="s">
        <v>93</v>
      </c>
      <c r="C27" s="253"/>
      <c r="D27" s="31">
        <v>45725</v>
      </c>
      <c r="E27" s="30" t="s">
        <v>102</v>
      </c>
      <c r="F27" s="30" t="s">
        <v>86</v>
      </c>
      <c r="G27" s="31">
        <v>45725</v>
      </c>
      <c r="H27" s="30" t="s">
        <v>103</v>
      </c>
      <c r="I27" s="30" t="s">
        <v>86</v>
      </c>
      <c r="J27" s="230"/>
    </row>
    <row r="28" spans="1:10" ht="22.8">
      <c r="A28" s="253"/>
      <c r="B28" s="30" t="s">
        <v>67</v>
      </c>
      <c r="C28" s="253"/>
      <c r="D28" s="31">
        <v>45725</v>
      </c>
      <c r="E28" s="30" t="s">
        <v>104</v>
      </c>
      <c r="F28" s="30" t="s">
        <v>86</v>
      </c>
      <c r="G28" s="261"/>
      <c r="H28" s="243"/>
      <c r="I28" s="235"/>
      <c r="J28" s="230"/>
    </row>
    <row r="29" spans="1:10" ht="22.8">
      <c r="A29" s="253"/>
      <c r="B29" s="30" t="s">
        <v>71</v>
      </c>
      <c r="C29" s="253"/>
      <c r="D29" s="31">
        <v>45720</v>
      </c>
      <c r="E29" s="30" t="s">
        <v>105</v>
      </c>
      <c r="F29" s="30" t="s">
        <v>86</v>
      </c>
      <c r="G29" s="236"/>
      <c r="H29" s="230"/>
      <c r="I29" s="237"/>
      <c r="J29" s="230"/>
    </row>
    <row r="30" spans="1:10" ht="22.8">
      <c r="A30" s="253"/>
      <c r="B30" s="30" t="s">
        <v>69</v>
      </c>
      <c r="C30" s="253"/>
      <c r="D30" s="31">
        <v>45720</v>
      </c>
      <c r="E30" s="30" t="s">
        <v>106</v>
      </c>
      <c r="F30" s="30" t="s">
        <v>86</v>
      </c>
      <c r="G30" s="238"/>
      <c r="H30" s="244"/>
      <c r="I30" s="239"/>
      <c r="J30" s="230"/>
    </row>
    <row r="31" spans="1:10" ht="22.8">
      <c r="A31" s="253"/>
      <c r="B31" s="30" t="s">
        <v>70</v>
      </c>
      <c r="C31" s="253"/>
      <c r="D31" s="31">
        <v>45719</v>
      </c>
      <c r="E31" s="30" t="s">
        <v>105</v>
      </c>
      <c r="F31" s="30" t="s">
        <v>86</v>
      </c>
      <c r="G31" s="31">
        <v>45720</v>
      </c>
      <c r="H31" s="30" t="s">
        <v>107</v>
      </c>
      <c r="I31" s="30" t="s">
        <v>86</v>
      </c>
      <c r="J31" s="230"/>
    </row>
    <row r="32" spans="1:10" ht="22.8">
      <c r="A32" s="251"/>
      <c r="B32" s="30" t="s">
        <v>108</v>
      </c>
      <c r="C32" s="251"/>
      <c r="D32" s="31">
        <v>45719</v>
      </c>
      <c r="E32" s="30" t="s">
        <v>106</v>
      </c>
      <c r="F32" s="30" t="s">
        <v>86</v>
      </c>
      <c r="G32" s="31"/>
      <c r="H32" s="30"/>
      <c r="I32" s="30"/>
      <c r="J32" s="230"/>
    </row>
    <row r="33" spans="1:10" ht="25.5" customHeight="1">
      <c r="A33" s="256"/>
      <c r="B33" s="230"/>
      <c r="C33" s="230"/>
      <c r="D33" s="257"/>
      <c r="E33" s="230"/>
      <c r="F33" s="230"/>
      <c r="G33" s="230"/>
      <c r="H33" s="230"/>
      <c r="I33" s="230"/>
      <c r="J33" s="230"/>
    </row>
    <row r="34" spans="1:10" ht="15.75" customHeight="1"/>
    <row r="35" spans="1:10" ht="15.75" customHeight="1"/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8">
    <mergeCell ref="J2:J33"/>
    <mergeCell ref="I4:I7"/>
    <mergeCell ref="I12:I15"/>
    <mergeCell ref="B3:C3"/>
    <mergeCell ref="B8:B11"/>
    <mergeCell ref="E12:E15"/>
    <mergeCell ref="F12:F15"/>
    <mergeCell ref="G12:G15"/>
    <mergeCell ref="H12:H15"/>
    <mergeCell ref="D16:D17"/>
    <mergeCell ref="E16:E17"/>
    <mergeCell ref="F16:F17"/>
    <mergeCell ref="G16:G17"/>
    <mergeCell ref="H16:H17"/>
    <mergeCell ref="I16:I17"/>
    <mergeCell ref="D18:D21"/>
    <mergeCell ref="A33:C33"/>
    <mergeCell ref="D33:I33"/>
    <mergeCell ref="A1:I1"/>
    <mergeCell ref="A2:C2"/>
    <mergeCell ref="D2:F2"/>
    <mergeCell ref="G2:I2"/>
    <mergeCell ref="E18:E21"/>
    <mergeCell ref="A22:C22"/>
    <mergeCell ref="D22:I22"/>
    <mergeCell ref="A23:A32"/>
    <mergeCell ref="C23:C32"/>
    <mergeCell ref="G26:I26"/>
    <mergeCell ref="G28:I30"/>
    <mergeCell ref="I8:I11"/>
    <mergeCell ref="B12:B15"/>
    <mergeCell ref="D12:D15"/>
    <mergeCell ref="A4:A21"/>
    <mergeCell ref="B16:B17"/>
    <mergeCell ref="B18:B21"/>
    <mergeCell ref="F18:F21"/>
    <mergeCell ref="G18:I21"/>
    <mergeCell ref="H4:H7"/>
    <mergeCell ref="D8:D11"/>
    <mergeCell ref="E8:E11"/>
    <mergeCell ref="F8:F11"/>
    <mergeCell ref="G8:G11"/>
    <mergeCell ref="H8:H11"/>
    <mergeCell ref="B4:B7"/>
    <mergeCell ref="D4:D7"/>
    <mergeCell ref="E4:E7"/>
    <mergeCell ref="F4:F7"/>
    <mergeCell ref="G4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53"/>
  <sheetViews>
    <sheetView workbookViewId="0">
      <pane ySplit="2" topLeftCell="A3" activePane="bottomLeft" state="frozen"/>
      <selection pane="bottomLeft" activeCell="B3" sqref="B3:B6"/>
    </sheetView>
  </sheetViews>
  <sheetFormatPr defaultColWidth="12.6640625" defaultRowHeight="15" customHeight="1"/>
  <cols>
    <col min="1" max="1" width="11.21875" customWidth="1"/>
    <col min="2" max="2" width="12.88671875" customWidth="1"/>
    <col min="3" max="3" width="9.88671875" customWidth="1"/>
    <col min="4" max="4" width="39.33203125" customWidth="1"/>
    <col min="5" max="5" width="38.21875" customWidth="1"/>
  </cols>
  <sheetData>
    <row r="1" spans="1:6" ht="45">
      <c r="A1" s="259"/>
      <c r="B1" s="232"/>
      <c r="C1" s="233"/>
      <c r="D1" s="33" t="s">
        <v>77</v>
      </c>
      <c r="E1" s="33" t="s">
        <v>78</v>
      </c>
      <c r="F1" s="265"/>
    </row>
    <row r="2" spans="1:6" ht="61.2">
      <c r="A2" s="35"/>
      <c r="B2" s="35" t="s">
        <v>79</v>
      </c>
      <c r="C2" s="35" t="s">
        <v>109</v>
      </c>
      <c r="D2" s="35" t="s">
        <v>110</v>
      </c>
      <c r="E2" s="35" t="s">
        <v>110</v>
      </c>
      <c r="F2" s="230"/>
    </row>
    <row r="3" spans="1:6" ht="22.8">
      <c r="A3" s="254" t="s">
        <v>111</v>
      </c>
      <c r="B3" s="254" t="s">
        <v>57</v>
      </c>
      <c r="C3" s="36">
        <v>1</v>
      </c>
      <c r="D3" s="37" t="s">
        <v>112</v>
      </c>
      <c r="E3" s="38" t="s">
        <v>113</v>
      </c>
      <c r="F3" s="265"/>
    </row>
    <row r="4" spans="1:6" ht="22.8">
      <c r="A4" s="236"/>
      <c r="B4" s="236"/>
      <c r="C4" s="39">
        <v>2</v>
      </c>
      <c r="D4" s="40" t="s">
        <v>114</v>
      </c>
      <c r="E4" s="38" t="s">
        <v>115</v>
      </c>
      <c r="F4" s="230"/>
    </row>
    <row r="5" spans="1:6" ht="22.8">
      <c r="A5" s="236"/>
      <c r="B5" s="236"/>
      <c r="C5" s="39">
        <v>3</v>
      </c>
      <c r="D5" s="40" t="s">
        <v>116</v>
      </c>
      <c r="E5" s="38" t="s">
        <v>117</v>
      </c>
      <c r="F5" s="230"/>
    </row>
    <row r="6" spans="1:6" ht="22.8">
      <c r="A6" s="236"/>
      <c r="B6" s="238"/>
      <c r="C6" s="41">
        <v>4</v>
      </c>
      <c r="D6" s="42" t="s">
        <v>118</v>
      </c>
      <c r="E6" s="38" t="s">
        <v>119</v>
      </c>
      <c r="F6" s="230"/>
    </row>
    <row r="7" spans="1:6" ht="22.8">
      <c r="A7" s="236"/>
      <c r="B7" s="254" t="s">
        <v>60</v>
      </c>
      <c r="C7" s="36">
        <v>1</v>
      </c>
      <c r="D7" s="43" t="s">
        <v>120</v>
      </c>
      <c r="E7" s="44" t="s">
        <v>121</v>
      </c>
      <c r="F7" s="230"/>
    </row>
    <row r="8" spans="1:6" ht="22.8">
      <c r="A8" s="236"/>
      <c r="B8" s="236"/>
      <c r="C8" s="39">
        <v>2</v>
      </c>
      <c r="D8" s="45" t="s">
        <v>122</v>
      </c>
      <c r="E8" s="46" t="s">
        <v>113</v>
      </c>
      <c r="F8" s="230"/>
    </row>
    <row r="9" spans="1:6" ht="22.8">
      <c r="A9" s="236"/>
      <c r="B9" s="236"/>
      <c r="C9" s="39">
        <v>3</v>
      </c>
      <c r="D9" s="45" t="s">
        <v>123</v>
      </c>
      <c r="E9" s="47" t="s">
        <v>124</v>
      </c>
      <c r="F9" s="230"/>
    </row>
    <row r="10" spans="1:6" ht="22.8">
      <c r="A10" s="236"/>
      <c r="B10" s="236"/>
      <c r="C10" s="41">
        <v>4</v>
      </c>
      <c r="D10" s="48" t="s">
        <v>125</v>
      </c>
      <c r="E10" s="49" t="s">
        <v>126</v>
      </c>
      <c r="F10" s="230"/>
    </row>
    <row r="11" spans="1:6" ht="22.8">
      <c r="A11" s="236"/>
      <c r="B11" s="238"/>
      <c r="C11" s="41">
        <v>5</v>
      </c>
      <c r="D11" s="48" t="s">
        <v>127</v>
      </c>
      <c r="E11" s="49" t="s">
        <v>128</v>
      </c>
      <c r="F11" s="230"/>
    </row>
    <row r="12" spans="1:6" ht="22.8">
      <c r="A12" s="236"/>
      <c r="B12" s="254" t="s">
        <v>63</v>
      </c>
      <c r="C12" s="36">
        <v>1</v>
      </c>
      <c r="D12" s="37" t="s">
        <v>122</v>
      </c>
      <c r="E12" s="24" t="s">
        <v>117</v>
      </c>
      <c r="F12" s="230"/>
    </row>
    <row r="13" spans="1:6" ht="22.8">
      <c r="A13" s="236"/>
      <c r="B13" s="236"/>
      <c r="C13" s="39">
        <v>2</v>
      </c>
      <c r="D13" s="40" t="s">
        <v>129</v>
      </c>
      <c r="E13" s="24" t="s">
        <v>113</v>
      </c>
      <c r="F13" s="230"/>
    </row>
    <row r="14" spans="1:6" ht="22.8">
      <c r="A14" s="236"/>
      <c r="B14" s="236"/>
      <c r="C14" s="39">
        <v>3</v>
      </c>
      <c r="D14" s="40" t="s">
        <v>130</v>
      </c>
      <c r="E14" s="24" t="s">
        <v>131</v>
      </c>
      <c r="F14" s="230"/>
    </row>
    <row r="15" spans="1:6" ht="22.8">
      <c r="A15" s="236"/>
      <c r="B15" s="236"/>
      <c r="C15" s="41">
        <v>4</v>
      </c>
      <c r="D15" s="42" t="s">
        <v>132</v>
      </c>
      <c r="E15" s="24" t="s">
        <v>133</v>
      </c>
      <c r="F15" s="230"/>
    </row>
    <row r="16" spans="1:6" ht="22.8">
      <c r="A16" s="236"/>
      <c r="B16" s="238"/>
      <c r="C16" s="41">
        <v>5</v>
      </c>
      <c r="D16" s="42" t="s">
        <v>134</v>
      </c>
      <c r="E16" s="24" t="s">
        <v>135</v>
      </c>
      <c r="F16" s="230"/>
    </row>
    <row r="17" spans="1:6" ht="22.8">
      <c r="A17" s="236"/>
      <c r="B17" s="254" t="s">
        <v>66</v>
      </c>
      <c r="C17" s="50">
        <v>1</v>
      </c>
      <c r="D17" s="51" t="s">
        <v>129</v>
      </c>
      <c r="E17" s="269"/>
      <c r="F17" s="230"/>
    </row>
    <row r="18" spans="1:6" ht="22.8">
      <c r="A18" s="236"/>
      <c r="B18" s="236"/>
      <c r="C18" s="53">
        <v>2</v>
      </c>
      <c r="D18" s="40" t="s">
        <v>123</v>
      </c>
      <c r="E18" s="237"/>
      <c r="F18" s="230"/>
    </row>
    <row r="19" spans="1:6" ht="22.8">
      <c r="A19" s="236"/>
      <c r="B19" s="236"/>
      <c r="C19" s="53">
        <v>3</v>
      </c>
      <c r="D19" s="40" t="s">
        <v>136</v>
      </c>
      <c r="E19" s="237"/>
      <c r="F19" s="230"/>
    </row>
    <row r="20" spans="1:6" ht="22.8">
      <c r="A20" s="236"/>
      <c r="B20" s="236"/>
      <c r="C20" s="54">
        <v>4</v>
      </c>
      <c r="D20" s="55" t="s">
        <v>132</v>
      </c>
      <c r="E20" s="237"/>
      <c r="F20" s="230"/>
    </row>
    <row r="21" spans="1:6" ht="22.8">
      <c r="A21" s="236"/>
      <c r="B21" s="238"/>
      <c r="C21" s="56">
        <v>5</v>
      </c>
      <c r="D21" s="52" t="s">
        <v>137</v>
      </c>
      <c r="E21" s="239"/>
      <c r="F21" s="230"/>
    </row>
    <row r="22" spans="1:6" ht="22.8">
      <c r="A22" s="236"/>
      <c r="B22" s="254" t="s">
        <v>138</v>
      </c>
      <c r="C22" s="36">
        <v>1</v>
      </c>
      <c r="D22" s="37" t="s">
        <v>139</v>
      </c>
      <c r="E22" s="40"/>
      <c r="F22" s="230"/>
    </row>
    <row r="23" spans="1:6" ht="22.8">
      <c r="A23" s="236"/>
      <c r="B23" s="236"/>
      <c r="C23" s="39">
        <v>2</v>
      </c>
      <c r="D23" s="40" t="s">
        <v>140</v>
      </c>
      <c r="E23" s="57"/>
      <c r="F23" s="230"/>
    </row>
    <row r="24" spans="1:6" ht="22.8">
      <c r="A24" s="236"/>
      <c r="B24" s="236"/>
      <c r="C24" s="39">
        <v>3</v>
      </c>
      <c r="D24" s="40" t="s">
        <v>141</v>
      </c>
      <c r="E24" s="40"/>
      <c r="F24" s="230"/>
    </row>
    <row r="25" spans="1:6" ht="22.8">
      <c r="A25" s="238"/>
      <c r="B25" s="238"/>
      <c r="C25" s="58">
        <v>4</v>
      </c>
      <c r="D25" s="59" t="s">
        <v>142</v>
      </c>
      <c r="E25" s="60"/>
      <c r="F25" s="230"/>
    </row>
    <row r="26" spans="1:6" ht="13.2">
      <c r="A26" s="266"/>
      <c r="B26" s="243"/>
      <c r="C26" s="243"/>
      <c r="D26" s="243"/>
      <c r="E26" s="235"/>
      <c r="F26" s="230"/>
    </row>
    <row r="27" spans="1:6" ht="13.2">
      <c r="A27" s="238"/>
      <c r="B27" s="244"/>
      <c r="C27" s="244"/>
      <c r="D27" s="244"/>
      <c r="E27" s="239"/>
      <c r="F27" s="230"/>
    </row>
    <row r="28" spans="1:6" ht="22.8">
      <c r="A28" s="252" t="s">
        <v>94</v>
      </c>
      <c r="B28" s="252" t="s">
        <v>57</v>
      </c>
      <c r="C28" s="30">
        <v>1</v>
      </c>
      <c r="D28" s="61" t="s">
        <v>143</v>
      </c>
      <c r="E28" s="61" t="s">
        <v>144</v>
      </c>
      <c r="F28" s="230"/>
    </row>
    <row r="29" spans="1:6" ht="22.8">
      <c r="A29" s="253"/>
      <c r="B29" s="253"/>
      <c r="C29" s="30">
        <v>2</v>
      </c>
      <c r="D29" s="61" t="s">
        <v>145</v>
      </c>
      <c r="E29" s="61" t="s">
        <v>146</v>
      </c>
      <c r="F29" s="230"/>
    </row>
    <row r="30" spans="1:6" ht="22.8">
      <c r="A30" s="253"/>
      <c r="B30" s="253"/>
      <c r="C30" s="30">
        <v>3</v>
      </c>
      <c r="D30" s="61" t="s">
        <v>147</v>
      </c>
      <c r="E30" s="61" t="s">
        <v>119</v>
      </c>
      <c r="F30" s="230"/>
    </row>
    <row r="31" spans="1:6" ht="22.8">
      <c r="A31" s="253"/>
      <c r="B31" s="251"/>
      <c r="C31" s="30">
        <v>4</v>
      </c>
      <c r="D31" s="61" t="s">
        <v>148</v>
      </c>
      <c r="E31" s="61" t="s">
        <v>117</v>
      </c>
      <c r="F31" s="230"/>
    </row>
    <row r="32" spans="1:6" ht="22.8">
      <c r="A32" s="253"/>
      <c r="B32" s="252" t="s">
        <v>60</v>
      </c>
      <c r="C32" s="30">
        <v>1</v>
      </c>
      <c r="D32" s="61" t="s">
        <v>149</v>
      </c>
      <c r="E32" s="61" t="s">
        <v>150</v>
      </c>
      <c r="F32" s="230"/>
    </row>
    <row r="33" spans="1:6" ht="22.8">
      <c r="A33" s="253"/>
      <c r="B33" s="253"/>
      <c r="C33" s="30">
        <v>2</v>
      </c>
      <c r="D33" s="61" t="s">
        <v>151</v>
      </c>
      <c r="E33" s="61" t="s">
        <v>152</v>
      </c>
      <c r="F33" s="230"/>
    </row>
    <row r="34" spans="1:6" ht="22.8">
      <c r="A34" s="253"/>
      <c r="B34" s="253"/>
      <c r="C34" s="30">
        <v>3</v>
      </c>
      <c r="D34" s="61" t="s">
        <v>153</v>
      </c>
      <c r="E34" s="61" t="s">
        <v>154</v>
      </c>
      <c r="F34" s="230"/>
    </row>
    <row r="35" spans="1:6" ht="22.8">
      <c r="A35" s="253"/>
      <c r="B35" s="251"/>
      <c r="C35" s="30">
        <v>4</v>
      </c>
      <c r="D35" s="61" t="s">
        <v>155</v>
      </c>
      <c r="E35" s="61"/>
      <c r="F35" s="230"/>
    </row>
    <row r="36" spans="1:6" ht="22.8">
      <c r="A36" s="253"/>
      <c r="B36" s="252" t="s">
        <v>63</v>
      </c>
      <c r="C36" s="30">
        <v>1</v>
      </c>
      <c r="D36" s="24" t="s">
        <v>143</v>
      </c>
      <c r="E36" s="61" t="s">
        <v>156</v>
      </c>
      <c r="F36" s="230"/>
    </row>
    <row r="37" spans="1:6" ht="22.8">
      <c r="A37" s="253"/>
      <c r="B37" s="253"/>
      <c r="C37" s="30">
        <v>2</v>
      </c>
      <c r="D37" s="61" t="s">
        <v>157</v>
      </c>
      <c r="E37" s="61" t="s">
        <v>158</v>
      </c>
      <c r="F37" s="230"/>
    </row>
    <row r="38" spans="1:6" ht="22.8">
      <c r="A38" s="253"/>
      <c r="B38" s="253"/>
      <c r="C38" s="30">
        <v>3</v>
      </c>
      <c r="D38" s="61" t="s">
        <v>159</v>
      </c>
      <c r="E38" s="61" t="s">
        <v>160</v>
      </c>
      <c r="F38" s="230"/>
    </row>
    <row r="39" spans="1:6" ht="22.8">
      <c r="A39" s="253"/>
      <c r="B39" s="253"/>
      <c r="C39" s="30">
        <v>4</v>
      </c>
      <c r="D39" s="61" t="s">
        <v>161</v>
      </c>
      <c r="E39" s="61" t="s">
        <v>162</v>
      </c>
      <c r="F39" s="230"/>
    </row>
    <row r="40" spans="1:6" ht="22.8">
      <c r="A40" s="253"/>
      <c r="B40" s="251"/>
      <c r="C40" s="30">
        <v>5</v>
      </c>
      <c r="D40" s="61"/>
      <c r="E40" s="61"/>
      <c r="F40" s="230"/>
    </row>
    <row r="41" spans="1:6" ht="22.8">
      <c r="A41" s="253"/>
      <c r="B41" s="252" t="s">
        <v>66</v>
      </c>
      <c r="C41" s="30">
        <v>1</v>
      </c>
      <c r="D41" s="61" t="s">
        <v>129</v>
      </c>
      <c r="E41" s="267"/>
      <c r="F41" s="230"/>
    </row>
    <row r="42" spans="1:6" ht="22.8">
      <c r="A42" s="253"/>
      <c r="B42" s="253"/>
      <c r="C42" s="30">
        <v>2</v>
      </c>
      <c r="D42" s="61" t="s">
        <v>112</v>
      </c>
      <c r="E42" s="253"/>
      <c r="F42" s="230"/>
    </row>
    <row r="43" spans="1:6" ht="22.8">
      <c r="A43" s="253"/>
      <c r="B43" s="253"/>
      <c r="C43" s="30">
        <v>3</v>
      </c>
      <c r="D43" s="61" t="s">
        <v>163</v>
      </c>
      <c r="E43" s="253"/>
      <c r="F43" s="230"/>
    </row>
    <row r="44" spans="1:6" ht="22.8">
      <c r="A44" s="253"/>
      <c r="B44" s="251"/>
      <c r="C44" s="30">
        <v>4</v>
      </c>
      <c r="D44" s="61" t="s">
        <v>164</v>
      </c>
      <c r="E44" s="251"/>
      <c r="F44" s="230"/>
    </row>
    <row r="45" spans="1:6" ht="22.8">
      <c r="A45" s="253"/>
      <c r="B45" s="252" t="s">
        <v>138</v>
      </c>
      <c r="C45" s="30">
        <v>1</v>
      </c>
      <c r="D45" s="61" t="s">
        <v>165</v>
      </c>
      <c r="E45" s="61" t="s">
        <v>140</v>
      </c>
      <c r="F45" s="230"/>
    </row>
    <row r="46" spans="1:6" ht="22.8">
      <c r="A46" s="253"/>
      <c r="B46" s="253"/>
      <c r="C46" s="30">
        <v>2</v>
      </c>
      <c r="D46" s="61" t="s">
        <v>139</v>
      </c>
      <c r="E46" s="61" t="s">
        <v>142</v>
      </c>
      <c r="F46" s="230"/>
    </row>
    <row r="47" spans="1:6" ht="22.8">
      <c r="A47" s="253"/>
      <c r="B47" s="253"/>
      <c r="C47" s="30">
        <v>3</v>
      </c>
      <c r="D47" s="61" t="s">
        <v>141</v>
      </c>
      <c r="E47" s="61" t="s">
        <v>141</v>
      </c>
      <c r="F47" s="230"/>
    </row>
    <row r="48" spans="1:6" ht="22.8">
      <c r="A48" s="253"/>
      <c r="B48" s="251"/>
      <c r="C48" s="30">
        <v>4</v>
      </c>
      <c r="D48" s="61"/>
      <c r="E48" s="61" t="s">
        <v>139</v>
      </c>
      <c r="F48" s="230"/>
    </row>
    <row r="49" spans="1:6" ht="22.8">
      <c r="A49" s="253"/>
      <c r="B49" s="252" t="s">
        <v>166</v>
      </c>
      <c r="C49" s="30">
        <v>1</v>
      </c>
      <c r="D49" s="38" t="s">
        <v>167</v>
      </c>
      <c r="E49" s="267"/>
      <c r="F49" s="230"/>
    </row>
    <row r="50" spans="1:6" ht="22.8">
      <c r="A50" s="253"/>
      <c r="B50" s="253"/>
      <c r="C50" s="30">
        <v>2</v>
      </c>
      <c r="D50" s="38" t="s">
        <v>168</v>
      </c>
      <c r="E50" s="253"/>
      <c r="F50" s="230"/>
    </row>
    <row r="51" spans="1:6" ht="22.8">
      <c r="A51" s="253"/>
      <c r="B51" s="251"/>
      <c r="C51" s="30">
        <v>3</v>
      </c>
      <c r="D51" s="38" t="s">
        <v>169</v>
      </c>
      <c r="E51" s="253"/>
      <c r="F51" s="230"/>
    </row>
    <row r="52" spans="1:6" ht="22.8">
      <c r="A52" s="253"/>
      <c r="B52" s="252" t="s">
        <v>170</v>
      </c>
      <c r="C52" s="30">
        <v>1</v>
      </c>
      <c r="D52" s="63" t="s">
        <v>171</v>
      </c>
      <c r="E52" s="253"/>
      <c r="F52" s="230"/>
    </row>
    <row r="53" spans="1:6" ht="22.8">
      <c r="A53" s="253"/>
      <c r="B53" s="253"/>
      <c r="C53" s="30">
        <v>2</v>
      </c>
      <c r="D53" s="63" t="s">
        <v>172</v>
      </c>
      <c r="E53" s="253"/>
      <c r="F53" s="230"/>
    </row>
    <row r="54" spans="1:6" ht="22.8">
      <c r="A54" s="253"/>
      <c r="B54" s="251"/>
      <c r="C54" s="30">
        <v>3</v>
      </c>
      <c r="D54" s="63" t="s">
        <v>169</v>
      </c>
      <c r="E54" s="251"/>
      <c r="F54" s="230"/>
    </row>
    <row r="55" spans="1:6" ht="22.8">
      <c r="A55" s="253"/>
      <c r="B55" s="252" t="s">
        <v>173</v>
      </c>
      <c r="C55" s="30">
        <v>1</v>
      </c>
      <c r="D55" s="38" t="s">
        <v>167</v>
      </c>
      <c r="E55" s="63" t="s">
        <v>174</v>
      </c>
      <c r="F55" s="230"/>
    </row>
    <row r="56" spans="1:6" ht="22.8">
      <c r="A56" s="253"/>
      <c r="B56" s="253"/>
      <c r="C56" s="30">
        <v>2</v>
      </c>
      <c r="D56" s="38" t="s">
        <v>168</v>
      </c>
      <c r="E56" s="63" t="s">
        <v>175</v>
      </c>
      <c r="F56" s="230"/>
    </row>
    <row r="57" spans="1:6" ht="22.8">
      <c r="A57" s="253"/>
      <c r="B57" s="253"/>
      <c r="C57" s="30">
        <v>3</v>
      </c>
      <c r="D57" s="38" t="s">
        <v>169</v>
      </c>
      <c r="E57" s="63" t="s">
        <v>176</v>
      </c>
      <c r="F57" s="230"/>
    </row>
    <row r="58" spans="1:6" ht="24" customHeight="1">
      <c r="A58" s="253"/>
      <c r="B58" s="252" t="s">
        <v>108</v>
      </c>
      <c r="C58" s="30">
        <v>1</v>
      </c>
      <c r="D58" s="38" t="s">
        <v>177</v>
      </c>
      <c r="E58" s="267"/>
      <c r="F58" s="230"/>
    </row>
    <row r="59" spans="1:6" ht="24" customHeight="1">
      <c r="A59" s="253"/>
      <c r="B59" s="253"/>
      <c r="C59" s="30">
        <v>2</v>
      </c>
      <c r="D59" s="38" t="s">
        <v>178</v>
      </c>
      <c r="E59" s="253"/>
      <c r="F59" s="230"/>
    </row>
    <row r="60" spans="1:6" ht="24" customHeight="1">
      <c r="A60" s="253"/>
      <c r="B60" s="253"/>
      <c r="C60" s="30">
        <v>3</v>
      </c>
      <c r="D60" s="38" t="s">
        <v>179</v>
      </c>
      <c r="E60" s="253"/>
      <c r="F60" s="230"/>
    </row>
    <row r="61" spans="1:6" ht="24" customHeight="1">
      <c r="A61" s="251"/>
      <c r="B61" s="251"/>
      <c r="C61" s="30">
        <v>4</v>
      </c>
      <c r="D61" s="38" t="s">
        <v>180</v>
      </c>
      <c r="E61" s="251"/>
      <c r="F61" s="230"/>
    </row>
    <row r="62" spans="1:6" ht="24" customHeight="1">
      <c r="A62" s="268"/>
      <c r="B62" s="232"/>
      <c r="C62" s="232"/>
      <c r="D62" s="232"/>
      <c r="E62" s="233"/>
      <c r="F62" s="230"/>
    </row>
    <row r="63" spans="1:6" ht="15.75" customHeight="1">
      <c r="A63" s="265"/>
      <c r="B63" s="230"/>
      <c r="C63" s="230"/>
      <c r="D63" s="230"/>
      <c r="E63" s="230"/>
      <c r="F63" s="230"/>
    </row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26">
    <mergeCell ref="A63:F63"/>
    <mergeCell ref="B17:B21"/>
    <mergeCell ref="E17:E21"/>
    <mergeCell ref="B12:B16"/>
    <mergeCell ref="B28:B31"/>
    <mergeCell ref="B32:B35"/>
    <mergeCell ref="B36:B40"/>
    <mergeCell ref="B41:B44"/>
    <mergeCell ref="E41:E44"/>
    <mergeCell ref="B45:B48"/>
    <mergeCell ref="B49:B51"/>
    <mergeCell ref="E49:E54"/>
    <mergeCell ref="B52:B54"/>
    <mergeCell ref="B55:B57"/>
    <mergeCell ref="B58:B61"/>
    <mergeCell ref="F1:F2"/>
    <mergeCell ref="A3:A25"/>
    <mergeCell ref="B3:B6"/>
    <mergeCell ref="F3:F62"/>
    <mergeCell ref="B7:B11"/>
    <mergeCell ref="A28:A61"/>
    <mergeCell ref="B22:B25"/>
    <mergeCell ref="A26:E27"/>
    <mergeCell ref="E58:E61"/>
    <mergeCell ref="A62:E62"/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3:R12"/>
  <sheetViews>
    <sheetView topLeftCell="A4" workbookViewId="0"/>
  </sheetViews>
  <sheetFormatPr defaultColWidth="12.6640625" defaultRowHeight="15" customHeight="1"/>
  <cols>
    <col min="1" max="1" width="20.21875" customWidth="1"/>
    <col min="2" max="2" width="5.21875" customWidth="1"/>
    <col min="3" max="3" width="14.88671875" customWidth="1"/>
    <col min="4" max="4" width="12.88671875" customWidth="1"/>
    <col min="13" max="13" width="15.44140625" customWidth="1"/>
    <col min="14" max="14" width="15.6640625" customWidth="1"/>
  </cols>
  <sheetData>
    <row r="3" spans="1:18">
      <c r="A3" s="64" t="s">
        <v>181</v>
      </c>
      <c r="B3" s="65" t="s">
        <v>182</v>
      </c>
      <c r="C3" s="65" t="s">
        <v>183</v>
      </c>
      <c r="D3" s="65" t="s">
        <v>184</v>
      </c>
      <c r="E3" s="65" t="s">
        <v>185</v>
      </c>
      <c r="F3" s="65" t="s">
        <v>186</v>
      </c>
      <c r="G3" s="65" t="s">
        <v>187</v>
      </c>
      <c r="H3" s="65" t="s">
        <v>188</v>
      </c>
      <c r="I3" s="65" t="s">
        <v>66</v>
      </c>
      <c r="J3" s="65" t="s">
        <v>189</v>
      </c>
      <c r="K3" s="65" t="s">
        <v>190</v>
      </c>
      <c r="L3" s="65" t="s">
        <v>191</v>
      </c>
      <c r="M3" s="65" t="s">
        <v>192</v>
      </c>
      <c r="N3" s="65" t="s">
        <v>193</v>
      </c>
      <c r="O3" s="65" t="s">
        <v>194</v>
      </c>
      <c r="P3" s="65" t="s">
        <v>195</v>
      </c>
      <c r="Q3" s="65" t="s">
        <v>196</v>
      </c>
      <c r="R3" s="66" t="s">
        <v>36</v>
      </c>
    </row>
    <row r="4" spans="1:18">
      <c r="A4" s="67" t="s">
        <v>197</v>
      </c>
      <c r="C4" s="68">
        <v>1</v>
      </c>
      <c r="D4" s="68">
        <v>3</v>
      </c>
      <c r="E4" s="68">
        <v>3</v>
      </c>
      <c r="F4" s="68">
        <v>8</v>
      </c>
      <c r="G4" s="68">
        <v>3</v>
      </c>
      <c r="H4" s="68">
        <v>8</v>
      </c>
      <c r="J4" s="68">
        <v>3</v>
      </c>
      <c r="K4" s="68">
        <v>10</v>
      </c>
      <c r="L4" s="68">
        <v>10</v>
      </c>
      <c r="R4" s="69">
        <f t="shared" ref="R4:R12" si="0">SUM(C4:Q4)</f>
        <v>49</v>
      </c>
    </row>
    <row r="5" spans="1:18">
      <c r="A5" s="70" t="s">
        <v>198</v>
      </c>
      <c r="C5" s="71">
        <v>8</v>
      </c>
      <c r="E5" s="71">
        <v>6</v>
      </c>
      <c r="G5" s="71">
        <v>5</v>
      </c>
      <c r="H5" s="71">
        <v>1</v>
      </c>
      <c r="I5" s="71">
        <v>8</v>
      </c>
      <c r="J5" s="71">
        <v>5</v>
      </c>
      <c r="K5" s="71">
        <v>6</v>
      </c>
      <c r="O5" s="71">
        <v>5</v>
      </c>
      <c r="R5" s="72">
        <f t="shared" si="0"/>
        <v>44</v>
      </c>
    </row>
    <row r="6" spans="1:18">
      <c r="A6" s="67" t="s">
        <v>199</v>
      </c>
      <c r="D6" s="68">
        <v>5</v>
      </c>
      <c r="F6" s="68">
        <v>1</v>
      </c>
      <c r="H6" s="68"/>
      <c r="L6" s="68">
        <v>6</v>
      </c>
      <c r="M6" s="68">
        <v>3</v>
      </c>
      <c r="N6" s="73">
        <v>4</v>
      </c>
      <c r="P6" s="73">
        <v>5</v>
      </c>
      <c r="Q6" s="73">
        <v>3</v>
      </c>
      <c r="R6" s="69">
        <f t="shared" si="0"/>
        <v>27</v>
      </c>
    </row>
    <row r="7" spans="1:18">
      <c r="A7" s="70" t="s">
        <v>200</v>
      </c>
      <c r="M7" s="71">
        <v>5</v>
      </c>
      <c r="N7" s="74">
        <v>5</v>
      </c>
      <c r="O7" s="71">
        <v>3</v>
      </c>
      <c r="P7" s="74">
        <v>3</v>
      </c>
      <c r="Q7" s="74">
        <v>5</v>
      </c>
      <c r="R7" s="72">
        <f t="shared" si="0"/>
        <v>21</v>
      </c>
    </row>
    <row r="8" spans="1:18">
      <c r="A8" s="67" t="s">
        <v>201</v>
      </c>
      <c r="D8" s="68">
        <v>1</v>
      </c>
      <c r="I8" s="68">
        <v>1</v>
      </c>
      <c r="J8" s="68">
        <v>1</v>
      </c>
      <c r="K8" s="68">
        <v>2</v>
      </c>
      <c r="L8" s="68">
        <v>2</v>
      </c>
      <c r="M8" s="68">
        <v>1</v>
      </c>
      <c r="P8" s="73">
        <v>1</v>
      </c>
      <c r="Q8" s="73">
        <v>1</v>
      </c>
      <c r="R8" s="69">
        <f t="shared" si="0"/>
        <v>10</v>
      </c>
    </row>
    <row r="9" spans="1:18">
      <c r="A9" s="70" t="s">
        <v>202</v>
      </c>
      <c r="O9" s="71">
        <v>1</v>
      </c>
      <c r="R9" s="72">
        <f t="shared" si="0"/>
        <v>1</v>
      </c>
    </row>
    <row r="10" spans="1:18">
      <c r="A10" s="67" t="s">
        <v>203</v>
      </c>
      <c r="R10" s="69">
        <f t="shared" si="0"/>
        <v>0</v>
      </c>
    </row>
    <row r="11" spans="1:18">
      <c r="A11" s="70" t="s">
        <v>204</v>
      </c>
      <c r="R11" s="72">
        <f t="shared" si="0"/>
        <v>0</v>
      </c>
    </row>
    <row r="12" spans="1:18">
      <c r="A12" s="75" t="s">
        <v>205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P1000"/>
  <sheetViews>
    <sheetView workbookViewId="0">
      <selection sqref="A1:I1"/>
    </sheetView>
  </sheetViews>
  <sheetFormatPr defaultColWidth="12.6640625" defaultRowHeight="15" customHeight="1"/>
  <cols>
    <col min="1" max="1" width="10.109375" customWidth="1"/>
    <col min="2" max="2" width="14.44140625" customWidth="1"/>
    <col min="3" max="3" width="25.33203125" customWidth="1"/>
    <col min="4" max="4" width="4.21875" customWidth="1"/>
    <col min="5" max="5" width="27.44140625" customWidth="1"/>
    <col min="6" max="6" width="21.109375" customWidth="1"/>
    <col min="7" max="7" width="20.77734375" customWidth="1"/>
    <col min="8" max="8" width="19.77734375" customWidth="1"/>
    <col min="9" max="9" width="33.21875" customWidth="1"/>
  </cols>
  <sheetData>
    <row r="1" spans="1:16" ht="40.5" customHeight="1">
      <c r="A1" s="271" t="s">
        <v>206</v>
      </c>
      <c r="B1" s="232"/>
      <c r="C1" s="232"/>
      <c r="D1" s="232"/>
      <c r="E1" s="232"/>
      <c r="F1" s="232"/>
      <c r="G1" s="232"/>
      <c r="H1" s="232"/>
      <c r="I1" s="233"/>
      <c r="J1" s="32"/>
    </row>
    <row r="2" spans="1:16" ht="51.75" customHeight="1">
      <c r="A2" s="30"/>
      <c r="B2" s="27" t="s">
        <v>207</v>
      </c>
      <c r="C2" s="28" t="s">
        <v>208</v>
      </c>
      <c r="D2" s="79" t="s">
        <v>209</v>
      </c>
      <c r="E2" s="80" t="s">
        <v>210</v>
      </c>
      <c r="F2" s="27" t="s">
        <v>80</v>
      </c>
      <c r="G2" s="27" t="s">
        <v>81</v>
      </c>
      <c r="H2" s="27" t="s">
        <v>82</v>
      </c>
      <c r="I2" s="27" t="s">
        <v>211</v>
      </c>
      <c r="J2" s="32"/>
    </row>
    <row r="3" spans="1:16" ht="39.75" customHeight="1">
      <c r="A3" s="272" t="s">
        <v>212</v>
      </c>
      <c r="B3" s="81">
        <v>1</v>
      </c>
      <c r="C3" s="82" t="s">
        <v>3</v>
      </c>
      <c r="D3" s="83" t="s">
        <v>213</v>
      </c>
      <c r="E3" s="81" t="s">
        <v>11</v>
      </c>
      <c r="F3" s="84">
        <v>45716</v>
      </c>
      <c r="G3" s="81" t="s">
        <v>214</v>
      </c>
      <c r="H3" s="81" t="s">
        <v>215</v>
      </c>
      <c r="I3" s="85" t="s">
        <v>216</v>
      </c>
      <c r="J3" s="32"/>
    </row>
    <row r="4" spans="1:16" ht="37.5" customHeight="1">
      <c r="A4" s="253"/>
      <c r="B4" s="86">
        <v>2</v>
      </c>
      <c r="C4" s="86" t="s">
        <v>15</v>
      </c>
      <c r="D4" s="86" t="s">
        <v>213</v>
      </c>
      <c r="E4" s="82" t="s">
        <v>7</v>
      </c>
      <c r="F4" s="87">
        <v>45717</v>
      </c>
      <c r="G4" s="86" t="s">
        <v>217</v>
      </c>
      <c r="H4" s="86" t="s">
        <v>215</v>
      </c>
      <c r="I4" s="88" t="s">
        <v>218</v>
      </c>
      <c r="J4" s="32"/>
      <c r="K4" s="89"/>
      <c r="L4" s="89"/>
      <c r="M4" s="89"/>
      <c r="N4" s="89"/>
      <c r="O4" s="90"/>
      <c r="P4" s="89"/>
    </row>
    <row r="5" spans="1:16" ht="37.5" customHeight="1">
      <c r="A5" s="253"/>
      <c r="B5" s="86">
        <v>3</v>
      </c>
      <c r="C5" s="82" t="s">
        <v>5</v>
      </c>
      <c r="D5" s="86" t="s">
        <v>213</v>
      </c>
      <c r="E5" s="86" t="s">
        <v>13</v>
      </c>
      <c r="F5" s="87">
        <v>45717</v>
      </c>
      <c r="G5" s="86" t="s">
        <v>219</v>
      </c>
      <c r="H5" s="86" t="s">
        <v>215</v>
      </c>
      <c r="I5" s="88" t="s">
        <v>220</v>
      </c>
      <c r="J5" s="32"/>
    </row>
    <row r="6" spans="1:16" ht="37.5" customHeight="1">
      <c r="A6" s="253"/>
      <c r="B6" s="81">
        <v>4</v>
      </c>
      <c r="C6" s="82" t="s">
        <v>3</v>
      </c>
      <c r="D6" s="81" t="s">
        <v>213</v>
      </c>
      <c r="E6" s="81" t="s">
        <v>1</v>
      </c>
      <c r="F6" s="84">
        <v>45717</v>
      </c>
      <c r="G6" s="81" t="s">
        <v>214</v>
      </c>
      <c r="H6" s="81" t="s">
        <v>215</v>
      </c>
      <c r="I6" s="85" t="s">
        <v>220</v>
      </c>
    </row>
    <row r="7" spans="1:16" ht="39" customHeight="1">
      <c r="A7" s="253"/>
      <c r="B7" s="81">
        <v>5</v>
      </c>
      <c r="C7" s="91" t="s">
        <v>9</v>
      </c>
      <c r="D7" s="81" t="s">
        <v>213</v>
      </c>
      <c r="E7" s="82" t="s">
        <v>11</v>
      </c>
      <c r="F7" s="84">
        <v>45718</v>
      </c>
      <c r="G7" s="81" t="s">
        <v>221</v>
      </c>
      <c r="H7" s="81" t="s">
        <v>215</v>
      </c>
      <c r="I7" s="85" t="s">
        <v>218</v>
      </c>
      <c r="J7" s="32"/>
    </row>
    <row r="8" spans="1:16" ht="38.25" customHeight="1">
      <c r="A8" s="253"/>
      <c r="B8" s="86">
        <v>6</v>
      </c>
      <c r="C8" s="86" t="s">
        <v>13</v>
      </c>
      <c r="D8" s="86" t="s">
        <v>213</v>
      </c>
      <c r="E8" s="82" t="s">
        <v>15</v>
      </c>
      <c r="F8" s="87">
        <v>45718</v>
      </c>
      <c r="G8" s="86" t="s">
        <v>222</v>
      </c>
      <c r="H8" s="86" t="s">
        <v>215</v>
      </c>
      <c r="I8" s="88" t="s">
        <v>223</v>
      </c>
      <c r="J8" s="32"/>
      <c r="K8" s="81"/>
      <c r="L8" s="81"/>
      <c r="M8" s="81"/>
    </row>
    <row r="9" spans="1:16" ht="37.5" customHeight="1">
      <c r="A9" s="253"/>
      <c r="B9" s="86">
        <v>7</v>
      </c>
      <c r="C9" s="82" t="s">
        <v>7</v>
      </c>
      <c r="D9" s="86" t="s">
        <v>213</v>
      </c>
      <c r="E9" s="86" t="s">
        <v>5</v>
      </c>
      <c r="F9" s="87">
        <v>45718</v>
      </c>
      <c r="G9" s="86" t="s">
        <v>224</v>
      </c>
      <c r="H9" s="86" t="s">
        <v>215</v>
      </c>
      <c r="I9" s="88" t="s">
        <v>216</v>
      </c>
      <c r="J9" s="32"/>
    </row>
    <row r="10" spans="1:16" ht="38.25" customHeight="1">
      <c r="A10" s="253"/>
      <c r="B10" s="81">
        <v>8</v>
      </c>
      <c r="C10" s="82" t="s">
        <v>3</v>
      </c>
      <c r="D10" s="81" t="s">
        <v>213</v>
      </c>
      <c r="E10" s="81" t="s">
        <v>9</v>
      </c>
      <c r="F10" s="84">
        <v>45718</v>
      </c>
      <c r="G10" s="81" t="s">
        <v>225</v>
      </c>
      <c r="H10" s="81" t="s">
        <v>215</v>
      </c>
      <c r="I10" s="85" t="s">
        <v>226</v>
      </c>
      <c r="J10" s="32"/>
    </row>
    <row r="11" spans="1:16" ht="39" customHeight="1">
      <c r="A11" s="253"/>
      <c r="B11" s="81">
        <v>9</v>
      </c>
      <c r="C11" s="81" t="s">
        <v>11</v>
      </c>
      <c r="D11" s="81" t="s">
        <v>213</v>
      </c>
      <c r="E11" s="82" t="s">
        <v>1</v>
      </c>
      <c r="F11" s="84">
        <v>45719</v>
      </c>
      <c r="G11" s="81" t="s">
        <v>214</v>
      </c>
      <c r="H11" s="81" t="s">
        <v>215</v>
      </c>
      <c r="I11" s="92">
        <v>45691</v>
      </c>
      <c r="J11" s="32"/>
    </row>
    <row r="12" spans="1:16" ht="39" customHeight="1">
      <c r="A12" s="253"/>
      <c r="B12" s="81">
        <v>10</v>
      </c>
      <c r="C12" s="82" t="s">
        <v>1</v>
      </c>
      <c r="D12" s="81" t="s">
        <v>213</v>
      </c>
      <c r="E12" s="81" t="s">
        <v>9</v>
      </c>
      <c r="F12" s="84">
        <v>45720</v>
      </c>
      <c r="G12" s="81" t="s">
        <v>214</v>
      </c>
      <c r="H12" s="81" t="s">
        <v>215</v>
      </c>
      <c r="I12" s="93" t="s">
        <v>226</v>
      </c>
      <c r="J12" s="32"/>
    </row>
    <row r="13" spans="1:16" ht="37.5" customHeight="1">
      <c r="A13" s="253"/>
      <c r="B13" s="86">
        <v>11</v>
      </c>
      <c r="C13" s="82" t="s">
        <v>7</v>
      </c>
      <c r="D13" s="86" t="s">
        <v>213</v>
      </c>
      <c r="E13" s="86" t="s">
        <v>13</v>
      </c>
      <c r="F13" s="87">
        <v>45721</v>
      </c>
      <c r="G13" s="86" t="s">
        <v>214</v>
      </c>
      <c r="H13" s="86" t="s">
        <v>215</v>
      </c>
      <c r="I13" s="94">
        <v>45717</v>
      </c>
      <c r="J13" s="32"/>
    </row>
    <row r="14" spans="1:16" ht="39" customHeight="1">
      <c r="A14" s="251"/>
      <c r="B14" s="86">
        <v>12</v>
      </c>
      <c r="C14" s="86" t="s">
        <v>15</v>
      </c>
      <c r="D14" s="86" t="s">
        <v>213</v>
      </c>
      <c r="E14" s="82" t="s">
        <v>5</v>
      </c>
      <c r="F14" s="87">
        <v>45723</v>
      </c>
      <c r="G14" s="86" t="s">
        <v>214</v>
      </c>
      <c r="H14" s="86" t="s">
        <v>215</v>
      </c>
      <c r="I14" s="95"/>
      <c r="J14" s="32"/>
    </row>
    <row r="15" spans="1:16" ht="33" customHeight="1">
      <c r="A15" s="270"/>
      <c r="B15" s="232"/>
      <c r="C15" s="232"/>
      <c r="D15" s="232"/>
      <c r="E15" s="232"/>
      <c r="F15" s="232"/>
      <c r="G15" s="232"/>
      <c r="H15" s="232"/>
      <c r="I15" s="233"/>
      <c r="J15" s="32"/>
    </row>
    <row r="16" spans="1:16" ht="37.5" customHeight="1">
      <c r="A16" s="272" t="s">
        <v>227</v>
      </c>
      <c r="B16" s="30">
        <v>13</v>
      </c>
      <c r="C16" s="82" t="s">
        <v>228</v>
      </c>
      <c r="D16" s="30" t="s">
        <v>213</v>
      </c>
      <c r="E16" s="30" t="s">
        <v>229</v>
      </c>
      <c r="F16" s="97">
        <v>45724</v>
      </c>
      <c r="G16" s="98" t="s">
        <v>221</v>
      </c>
      <c r="H16" s="30" t="s">
        <v>215</v>
      </c>
      <c r="I16" s="99"/>
      <c r="J16" s="32"/>
    </row>
    <row r="17" spans="1:10" ht="39" customHeight="1">
      <c r="A17" s="251"/>
      <c r="B17" s="30">
        <v>14</v>
      </c>
      <c r="C17" s="82" t="s">
        <v>230</v>
      </c>
      <c r="D17" s="30" t="s">
        <v>213</v>
      </c>
      <c r="E17" s="98" t="s">
        <v>231</v>
      </c>
      <c r="F17" s="97">
        <v>45724</v>
      </c>
      <c r="G17" s="98" t="s">
        <v>222</v>
      </c>
      <c r="H17" s="30" t="s">
        <v>215</v>
      </c>
      <c r="I17" s="99"/>
      <c r="J17" s="32"/>
    </row>
    <row r="18" spans="1:10" ht="33" customHeight="1">
      <c r="A18" s="270"/>
      <c r="B18" s="232"/>
      <c r="C18" s="232"/>
      <c r="D18" s="232"/>
      <c r="E18" s="232"/>
      <c r="F18" s="232"/>
      <c r="G18" s="232"/>
      <c r="H18" s="232"/>
      <c r="I18" s="233"/>
      <c r="J18" s="32"/>
    </row>
    <row r="19" spans="1:10" ht="38.25" customHeight="1">
      <c r="A19" s="38" t="s">
        <v>232</v>
      </c>
      <c r="B19" s="30">
        <v>15</v>
      </c>
      <c r="C19" s="30" t="s">
        <v>233</v>
      </c>
      <c r="D19" s="30" t="s">
        <v>213</v>
      </c>
      <c r="E19" s="30" t="s">
        <v>234</v>
      </c>
      <c r="F19" s="97">
        <v>45724</v>
      </c>
      <c r="G19" s="98" t="s">
        <v>214</v>
      </c>
      <c r="H19" s="30" t="s">
        <v>215</v>
      </c>
      <c r="I19" s="99"/>
      <c r="J19" s="32"/>
    </row>
    <row r="20" spans="1:10" ht="30.75" customHeight="1">
      <c r="A20" s="270"/>
      <c r="B20" s="232"/>
      <c r="C20" s="232"/>
      <c r="D20" s="232"/>
      <c r="E20" s="232"/>
      <c r="F20" s="232"/>
      <c r="G20" s="232"/>
      <c r="H20" s="232"/>
      <c r="I20" s="233"/>
      <c r="J20" s="32"/>
    </row>
    <row r="21" spans="1:10" ht="33" customHeight="1">
      <c r="A21" s="38" t="s">
        <v>235</v>
      </c>
      <c r="B21" s="30">
        <v>16</v>
      </c>
      <c r="C21" s="30" t="s">
        <v>236</v>
      </c>
      <c r="D21" s="30" t="s">
        <v>213</v>
      </c>
      <c r="E21" s="30" t="s">
        <v>237</v>
      </c>
      <c r="F21" s="97">
        <v>45725</v>
      </c>
      <c r="G21" s="98" t="s">
        <v>238</v>
      </c>
      <c r="H21" s="30" t="s">
        <v>215</v>
      </c>
      <c r="I21" s="99"/>
      <c r="J21" s="32"/>
    </row>
    <row r="22" spans="1:10" ht="33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30.75" customHeight="1">
      <c r="A23" s="32"/>
      <c r="B23" s="32"/>
      <c r="C23" s="32"/>
      <c r="D23" s="32"/>
      <c r="F23" s="32"/>
      <c r="G23" s="32"/>
      <c r="H23" s="32"/>
      <c r="I23" s="32"/>
      <c r="J23" s="32"/>
    </row>
    <row r="24" spans="1:10" ht="32.25" customHeight="1">
      <c r="A24" s="32"/>
      <c r="B24" s="32"/>
      <c r="D24" s="32"/>
      <c r="E24" s="32"/>
      <c r="F24" s="32"/>
      <c r="G24" s="32"/>
      <c r="H24" s="32"/>
      <c r="I24" s="32"/>
      <c r="J24" s="32"/>
    </row>
    <row r="25" spans="1:10" ht="31.5" customHeight="1">
      <c r="A25" s="32"/>
      <c r="B25" s="32"/>
      <c r="C25" s="32"/>
      <c r="D25" s="32"/>
      <c r="F25" s="32"/>
      <c r="G25" s="32"/>
      <c r="H25" s="32"/>
      <c r="I25" s="32"/>
      <c r="J25" s="32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21.33203125" customWidth="1"/>
    <col min="2" max="3" width="8.88671875" customWidth="1"/>
    <col min="4" max="4" width="8.109375" customWidth="1"/>
    <col min="5" max="5" width="10.88671875" customWidth="1"/>
    <col min="6" max="6" width="7.88671875" customWidth="1"/>
    <col min="7" max="7" width="7.33203125" customWidth="1"/>
    <col min="8" max="8" width="8.77734375" customWidth="1"/>
    <col min="9" max="9" width="4.21875" customWidth="1"/>
    <col min="10" max="10" width="24.44140625" customWidth="1"/>
    <col min="11" max="11" width="9.109375" customWidth="1"/>
    <col min="12" max="12" width="8.88671875" customWidth="1"/>
    <col min="13" max="13" width="9.109375" customWidth="1"/>
    <col min="14" max="14" width="11.77734375" customWidth="1"/>
    <col min="15" max="15" width="8.6640625" customWidth="1"/>
    <col min="16" max="16" width="9.109375" customWidth="1"/>
    <col min="17" max="17" width="9.21875" customWidth="1"/>
  </cols>
  <sheetData>
    <row r="1" spans="1:17" ht="40.5" customHeight="1">
      <c r="A1" s="275" t="s">
        <v>51</v>
      </c>
      <c r="B1" s="232"/>
      <c r="C1" s="232"/>
      <c r="D1" s="232"/>
      <c r="E1" s="232"/>
      <c r="F1" s="232"/>
      <c r="G1" s="232"/>
      <c r="H1" s="233"/>
      <c r="I1" s="267"/>
      <c r="J1" s="276" t="s">
        <v>52</v>
      </c>
      <c r="K1" s="232"/>
      <c r="L1" s="232"/>
      <c r="M1" s="232"/>
      <c r="N1" s="232"/>
      <c r="O1" s="232"/>
      <c r="P1" s="232"/>
      <c r="Q1" s="233"/>
    </row>
    <row r="2" spans="1:17" ht="63.75" customHeight="1">
      <c r="A2" s="30" t="s">
        <v>239</v>
      </c>
      <c r="B2" s="30" t="s">
        <v>240</v>
      </c>
      <c r="C2" s="30" t="s">
        <v>241</v>
      </c>
      <c r="D2" s="30" t="s">
        <v>141</v>
      </c>
      <c r="E2" s="30" t="s">
        <v>242</v>
      </c>
      <c r="F2" s="30" t="s">
        <v>243</v>
      </c>
      <c r="G2" s="30" t="s">
        <v>244</v>
      </c>
      <c r="H2" s="100" t="s">
        <v>245</v>
      </c>
      <c r="I2" s="253"/>
      <c r="J2" s="101" t="s">
        <v>239</v>
      </c>
      <c r="K2" s="30" t="s">
        <v>240</v>
      </c>
      <c r="L2" s="30" t="s">
        <v>241</v>
      </c>
      <c r="M2" s="30" t="s">
        <v>141</v>
      </c>
      <c r="N2" s="30" t="s">
        <v>242</v>
      </c>
      <c r="O2" s="30" t="s">
        <v>243</v>
      </c>
      <c r="P2" s="100" t="s">
        <v>244</v>
      </c>
      <c r="Q2" s="30" t="s">
        <v>245</v>
      </c>
    </row>
    <row r="3" spans="1:17" ht="35.25" customHeight="1">
      <c r="A3" s="102" t="s">
        <v>3</v>
      </c>
      <c r="B3" s="103">
        <v>3</v>
      </c>
      <c r="C3" s="103">
        <v>3</v>
      </c>
      <c r="D3" s="103">
        <v>0</v>
      </c>
      <c r="E3" s="103">
        <v>6</v>
      </c>
      <c r="F3" s="103">
        <v>9</v>
      </c>
      <c r="G3" s="103">
        <v>3</v>
      </c>
      <c r="H3" s="104">
        <v>6</v>
      </c>
      <c r="I3" s="277"/>
      <c r="J3" s="106" t="s">
        <v>13</v>
      </c>
      <c r="K3" s="103">
        <v>3</v>
      </c>
      <c r="L3" s="103">
        <v>0</v>
      </c>
      <c r="M3" s="103">
        <v>3</v>
      </c>
      <c r="N3" s="103">
        <v>0</v>
      </c>
      <c r="O3" s="103">
        <v>4</v>
      </c>
      <c r="P3" s="103">
        <v>9</v>
      </c>
      <c r="Q3" s="107">
        <v>-5</v>
      </c>
    </row>
    <row r="4" spans="1:17" ht="35.25" customHeight="1">
      <c r="A4" s="102" t="s">
        <v>11</v>
      </c>
      <c r="B4" s="103">
        <v>3</v>
      </c>
      <c r="C4" s="103">
        <v>1</v>
      </c>
      <c r="D4" s="103">
        <v>2</v>
      </c>
      <c r="E4" s="103">
        <v>2</v>
      </c>
      <c r="F4" s="103">
        <v>7</v>
      </c>
      <c r="G4" s="103">
        <v>6</v>
      </c>
      <c r="H4" s="104">
        <v>1</v>
      </c>
      <c r="I4" s="253"/>
      <c r="J4" s="102" t="s">
        <v>7</v>
      </c>
      <c r="K4" s="103">
        <v>3</v>
      </c>
      <c r="L4" s="103">
        <v>3</v>
      </c>
      <c r="M4" s="103">
        <v>0</v>
      </c>
      <c r="N4" s="103">
        <v>6</v>
      </c>
      <c r="O4" s="103">
        <v>9</v>
      </c>
      <c r="P4" s="103">
        <v>3</v>
      </c>
      <c r="Q4" s="103">
        <v>6</v>
      </c>
    </row>
    <row r="5" spans="1:17" ht="33" customHeight="1">
      <c r="A5" s="102" t="s">
        <v>9</v>
      </c>
      <c r="B5" s="108">
        <v>3</v>
      </c>
      <c r="C5" s="108">
        <v>0</v>
      </c>
      <c r="D5" s="108">
        <v>3</v>
      </c>
      <c r="E5" s="108">
        <v>0</v>
      </c>
      <c r="F5" s="108">
        <v>0</v>
      </c>
      <c r="G5" s="108">
        <v>9</v>
      </c>
      <c r="H5" s="109">
        <v>-9</v>
      </c>
      <c r="I5" s="253"/>
      <c r="J5" s="102" t="s">
        <v>15</v>
      </c>
      <c r="K5" s="108">
        <v>2</v>
      </c>
      <c r="L5" s="108">
        <v>1</v>
      </c>
      <c r="M5" s="108">
        <v>1</v>
      </c>
      <c r="N5" s="108">
        <v>2</v>
      </c>
      <c r="O5" s="108">
        <v>3</v>
      </c>
      <c r="P5" s="108">
        <v>5</v>
      </c>
      <c r="Q5" s="108">
        <v>-2</v>
      </c>
    </row>
    <row r="6" spans="1:17" ht="34.5" customHeight="1">
      <c r="A6" s="102" t="s">
        <v>1</v>
      </c>
      <c r="B6" s="110">
        <v>3</v>
      </c>
      <c r="C6" s="108">
        <v>2</v>
      </c>
      <c r="D6" s="108">
        <v>1</v>
      </c>
      <c r="E6" s="108">
        <v>4</v>
      </c>
      <c r="F6" s="108">
        <v>7</v>
      </c>
      <c r="G6" s="108">
        <v>5</v>
      </c>
      <c r="H6" s="109">
        <v>2</v>
      </c>
      <c r="I6" s="251"/>
      <c r="J6" s="102" t="s">
        <v>5</v>
      </c>
      <c r="K6" s="108">
        <v>2</v>
      </c>
      <c r="L6" s="108">
        <v>1</v>
      </c>
      <c r="M6" s="108">
        <v>1</v>
      </c>
      <c r="N6" s="108">
        <v>2</v>
      </c>
      <c r="O6" s="108">
        <v>5</v>
      </c>
      <c r="P6" s="108">
        <v>4</v>
      </c>
      <c r="Q6" s="108">
        <v>1</v>
      </c>
    </row>
    <row r="7" spans="1:17" ht="30" customHeight="1">
      <c r="A7" s="265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</row>
    <row r="8" spans="1:17" ht="30" customHeight="1">
      <c r="A8" s="273" t="s">
        <v>246</v>
      </c>
      <c r="B8" s="278" t="s">
        <v>247</v>
      </c>
      <c r="C8" s="279"/>
      <c r="D8" s="280"/>
      <c r="E8" s="278" t="s">
        <v>248</v>
      </c>
      <c r="F8" s="279"/>
      <c r="G8" s="278" t="s">
        <v>249</v>
      </c>
      <c r="H8" s="279"/>
      <c r="I8" s="280"/>
      <c r="J8" s="265"/>
      <c r="K8" s="230"/>
      <c r="L8" s="230"/>
      <c r="M8" s="230"/>
      <c r="N8" s="230"/>
      <c r="O8" s="230"/>
      <c r="P8" s="230"/>
      <c r="Q8" s="230"/>
    </row>
    <row r="9" spans="1:17" ht="30" customHeight="1">
      <c r="A9" s="274"/>
      <c r="B9" s="278" t="s">
        <v>250</v>
      </c>
      <c r="C9" s="279"/>
      <c r="D9" s="280"/>
      <c r="E9" s="278" t="s">
        <v>251</v>
      </c>
      <c r="F9" s="279"/>
      <c r="G9" s="278" t="s">
        <v>252</v>
      </c>
      <c r="H9" s="279"/>
      <c r="I9" s="280"/>
      <c r="J9" s="230"/>
      <c r="K9" s="230"/>
      <c r="L9" s="230"/>
      <c r="M9" s="230"/>
      <c r="N9" s="230"/>
      <c r="O9" s="230"/>
      <c r="P9" s="230"/>
      <c r="Q9" s="230"/>
    </row>
    <row r="10" spans="1:17" ht="30" customHeight="1">
      <c r="A10" s="265"/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</row>
    <row r="11" spans="1:17" ht="15.75" customHeight="1"/>
    <row r="12" spans="1:17" ht="15.75" customHeight="1"/>
    <row r="13" spans="1:17" ht="15.75" customHeight="1"/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:A9"/>
    <mergeCell ref="J8:Q9"/>
    <mergeCell ref="A10:Q10"/>
    <mergeCell ref="A1:H1"/>
    <mergeCell ref="I1:I2"/>
    <mergeCell ref="J1:Q1"/>
    <mergeCell ref="I3:I6"/>
    <mergeCell ref="A7:Q7"/>
    <mergeCell ref="E8:F8"/>
    <mergeCell ref="G8:I8"/>
    <mergeCell ref="B8:D8"/>
    <mergeCell ref="B9:D9"/>
    <mergeCell ref="E9:F9"/>
    <mergeCell ref="G9:I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L1000"/>
  <sheetViews>
    <sheetView workbookViewId="0">
      <selection sqref="A1:I1"/>
    </sheetView>
  </sheetViews>
  <sheetFormatPr defaultColWidth="12.6640625" defaultRowHeight="15" customHeight="1"/>
  <cols>
    <col min="1" max="1" width="10.109375" customWidth="1"/>
    <col min="2" max="2" width="14.44140625" customWidth="1"/>
    <col min="3" max="3" width="25.33203125" customWidth="1"/>
    <col min="4" max="4" width="4.21875" customWidth="1"/>
    <col min="5" max="5" width="30.88671875" customWidth="1"/>
    <col min="6" max="6" width="21.109375" customWidth="1"/>
    <col min="7" max="7" width="19.33203125" customWidth="1"/>
    <col min="8" max="8" width="19.77734375" customWidth="1"/>
    <col min="9" max="9" width="33.21875" customWidth="1"/>
  </cols>
  <sheetData>
    <row r="1" spans="1:12" ht="40.5" customHeight="1">
      <c r="A1" s="271" t="s">
        <v>256</v>
      </c>
      <c r="B1" s="232"/>
      <c r="C1" s="232"/>
      <c r="D1" s="232"/>
      <c r="E1" s="232"/>
      <c r="F1" s="232"/>
      <c r="G1" s="232"/>
      <c r="H1" s="232"/>
      <c r="I1" s="233"/>
      <c r="J1" s="32"/>
    </row>
    <row r="2" spans="1:12" ht="51.75" customHeight="1">
      <c r="A2" s="30"/>
      <c r="B2" s="27" t="s">
        <v>207</v>
      </c>
      <c r="C2" s="28" t="s">
        <v>208</v>
      </c>
      <c r="D2" s="79" t="s">
        <v>209</v>
      </c>
      <c r="E2" s="80" t="s">
        <v>210</v>
      </c>
      <c r="F2" s="27" t="s">
        <v>80</v>
      </c>
      <c r="G2" s="27" t="s">
        <v>81</v>
      </c>
      <c r="H2" s="27" t="s">
        <v>82</v>
      </c>
      <c r="I2" s="27" t="s">
        <v>211</v>
      </c>
      <c r="J2" s="32"/>
    </row>
    <row r="3" spans="1:12" ht="39.75" customHeight="1">
      <c r="A3" s="272" t="s">
        <v>212</v>
      </c>
      <c r="B3" s="81">
        <v>1</v>
      </c>
      <c r="C3" s="81" t="s">
        <v>197</v>
      </c>
      <c r="D3" s="83" t="s">
        <v>213</v>
      </c>
      <c r="E3" s="82" t="s">
        <v>1</v>
      </c>
      <c r="F3" s="84">
        <v>45716</v>
      </c>
      <c r="G3" s="81" t="s">
        <v>257</v>
      </c>
      <c r="H3" s="81" t="s">
        <v>215</v>
      </c>
      <c r="I3" s="85" t="s">
        <v>258</v>
      </c>
      <c r="J3" s="32"/>
      <c r="L3" s="114"/>
    </row>
    <row r="4" spans="1:12" ht="37.5" customHeight="1">
      <c r="A4" s="253"/>
      <c r="B4" s="115">
        <v>2</v>
      </c>
      <c r="C4" s="115" t="s">
        <v>259</v>
      </c>
      <c r="D4" s="115" t="s">
        <v>213</v>
      </c>
      <c r="E4" s="115" t="s">
        <v>260</v>
      </c>
      <c r="F4" s="116">
        <v>45717</v>
      </c>
      <c r="G4" s="115" t="s">
        <v>261</v>
      </c>
      <c r="H4" s="115" t="s">
        <v>215</v>
      </c>
      <c r="I4" s="117"/>
      <c r="J4" s="32"/>
      <c r="K4" s="114"/>
      <c r="L4" s="114"/>
    </row>
    <row r="5" spans="1:12" ht="37.5" customHeight="1">
      <c r="A5" s="253"/>
      <c r="B5" s="86">
        <v>3</v>
      </c>
      <c r="C5" s="86" t="s">
        <v>11</v>
      </c>
      <c r="D5" s="86" t="s">
        <v>213</v>
      </c>
      <c r="E5" s="82" t="s">
        <v>262</v>
      </c>
      <c r="F5" s="87">
        <v>45717</v>
      </c>
      <c r="G5" s="86" t="s">
        <v>263</v>
      </c>
      <c r="H5" s="86" t="s">
        <v>215</v>
      </c>
      <c r="I5" s="88" t="s">
        <v>258</v>
      </c>
      <c r="J5" s="32"/>
      <c r="K5" s="114"/>
      <c r="L5" s="114"/>
    </row>
    <row r="6" spans="1:12" ht="37.5" customHeight="1">
      <c r="A6" s="253"/>
      <c r="B6" s="86">
        <v>4</v>
      </c>
      <c r="C6" s="82" t="s">
        <v>7</v>
      </c>
      <c r="D6" s="86" t="s">
        <v>213</v>
      </c>
      <c r="E6" s="86" t="s">
        <v>13</v>
      </c>
      <c r="F6" s="87">
        <v>45723</v>
      </c>
      <c r="G6" s="86" t="s">
        <v>264</v>
      </c>
      <c r="H6" s="86" t="s">
        <v>215</v>
      </c>
      <c r="I6" s="88" t="s">
        <v>265</v>
      </c>
      <c r="J6" s="32"/>
      <c r="K6" s="114"/>
      <c r="L6" s="114"/>
    </row>
    <row r="7" spans="1:12" ht="39" customHeight="1">
      <c r="A7" s="253"/>
      <c r="B7" s="81">
        <v>5</v>
      </c>
      <c r="C7" s="81" t="s">
        <v>197</v>
      </c>
      <c r="D7" s="81" t="s">
        <v>213</v>
      </c>
      <c r="E7" s="82" t="s">
        <v>259</v>
      </c>
      <c r="F7" s="84">
        <v>45718</v>
      </c>
      <c r="G7" s="81" t="s">
        <v>266</v>
      </c>
      <c r="H7" s="81" t="s">
        <v>215</v>
      </c>
      <c r="I7" s="85" t="s">
        <v>258</v>
      </c>
      <c r="J7" s="32"/>
    </row>
    <row r="8" spans="1:12" ht="38.25" customHeight="1">
      <c r="A8" s="253"/>
      <c r="B8" s="115">
        <v>6</v>
      </c>
      <c r="C8" s="115" t="s">
        <v>260</v>
      </c>
      <c r="D8" s="115" t="s">
        <v>213</v>
      </c>
      <c r="E8" s="115" t="s">
        <v>1</v>
      </c>
      <c r="F8" s="116">
        <v>45718</v>
      </c>
      <c r="G8" s="115" t="s">
        <v>261</v>
      </c>
      <c r="H8" s="115" t="s">
        <v>215</v>
      </c>
      <c r="I8" s="117"/>
      <c r="J8" s="32"/>
    </row>
    <row r="9" spans="1:12" ht="37.5" customHeight="1">
      <c r="A9" s="253"/>
      <c r="B9" s="118">
        <v>7</v>
      </c>
      <c r="C9" s="118" t="s">
        <v>11</v>
      </c>
      <c r="D9" s="118" t="s">
        <v>213</v>
      </c>
      <c r="E9" s="118" t="s">
        <v>7</v>
      </c>
      <c r="F9" s="119">
        <v>45718</v>
      </c>
      <c r="G9" s="118" t="s">
        <v>267</v>
      </c>
      <c r="H9" s="118" t="s">
        <v>215</v>
      </c>
      <c r="I9" s="88"/>
      <c r="J9" s="32"/>
    </row>
    <row r="10" spans="1:12" ht="38.25" customHeight="1">
      <c r="A10" s="253"/>
      <c r="B10" s="86">
        <v>8</v>
      </c>
      <c r="C10" s="82" t="s">
        <v>262</v>
      </c>
      <c r="D10" s="86" t="s">
        <v>213</v>
      </c>
      <c r="E10" s="86" t="s">
        <v>13</v>
      </c>
      <c r="F10" s="87">
        <v>45719</v>
      </c>
      <c r="G10" s="86" t="s">
        <v>257</v>
      </c>
      <c r="H10" s="86" t="s">
        <v>215</v>
      </c>
      <c r="I10" s="88" t="s">
        <v>268</v>
      </c>
      <c r="J10" s="32"/>
    </row>
    <row r="11" spans="1:12" ht="39" customHeight="1">
      <c r="A11" s="253"/>
      <c r="B11" s="81">
        <v>9</v>
      </c>
      <c r="C11" s="81" t="s">
        <v>259</v>
      </c>
      <c r="D11" s="81" t="s">
        <v>213</v>
      </c>
      <c r="E11" s="82" t="s">
        <v>1</v>
      </c>
      <c r="F11" s="84">
        <v>45720</v>
      </c>
      <c r="G11" s="81" t="s">
        <v>257</v>
      </c>
      <c r="H11" s="81" t="s">
        <v>215</v>
      </c>
      <c r="I11" s="93" t="s">
        <v>258</v>
      </c>
      <c r="J11" s="32"/>
      <c r="K11" s="120"/>
    </row>
    <row r="12" spans="1:12" ht="39" customHeight="1">
      <c r="A12" s="253"/>
      <c r="B12" s="115">
        <v>10</v>
      </c>
      <c r="C12" s="115" t="s">
        <v>260</v>
      </c>
      <c r="D12" s="115" t="s">
        <v>213</v>
      </c>
      <c r="E12" s="115" t="s">
        <v>197</v>
      </c>
      <c r="F12" s="116">
        <v>45721</v>
      </c>
      <c r="G12" s="115" t="s">
        <v>257</v>
      </c>
      <c r="H12" s="115" t="s">
        <v>215</v>
      </c>
      <c r="I12" s="121"/>
      <c r="J12" s="32"/>
    </row>
    <row r="13" spans="1:12" ht="37.5" customHeight="1">
      <c r="A13" s="253"/>
      <c r="B13" s="86">
        <v>11</v>
      </c>
      <c r="C13" s="86" t="s">
        <v>11</v>
      </c>
      <c r="D13" s="86" t="s">
        <v>213</v>
      </c>
      <c r="E13" s="86" t="s">
        <v>13</v>
      </c>
      <c r="F13" s="87">
        <v>45722</v>
      </c>
      <c r="G13" s="86" t="s">
        <v>257</v>
      </c>
      <c r="H13" s="86" t="s">
        <v>215</v>
      </c>
      <c r="I13" s="95"/>
      <c r="J13" s="32"/>
    </row>
    <row r="14" spans="1:12" ht="39" customHeight="1">
      <c r="A14" s="251"/>
      <c r="B14" s="86">
        <v>12</v>
      </c>
      <c r="C14" s="82" t="s">
        <v>262</v>
      </c>
      <c r="D14" s="86" t="s">
        <v>213</v>
      </c>
      <c r="E14" s="86" t="s">
        <v>7</v>
      </c>
      <c r="F14" s="87">
        <v>45718</v>
      </c>
      <c r="G14" s="86" t="s">
        <v>257</v>
      </c>
      <c r="H14" s="86" t="s">
        <v>215</v>
      </c>
      <c r="I14" s="95" t="s">
        <v>268</v>
      </c>
      <c r="J14" s="32"/>
    </row>
    <row r="15" spans="1:12" ht="33" customHeight="1">
      <c r="A15" s="270"/>
      <c r="B15" s="232"/>
      <c r="C15" s="232"/>
      <c r="D15" s="232"/>
      <c r="E15" s="232"/>
      <c r="F15" s="232"/>
      <c r="G15" s="232"/>
      <c r="H15" s="232"/>
      <c r="I15" s="233"/>
      <c r="J15" s="32"/>
    </row>
    <row r="16" spans="1:12" ht="37.5" customHeight="1">
      <c r="A16" s="272" t="s">
        <v>227</v>
      </c>
      <c r="B16" s="30">
        <v>13</v>
      </c>
      <c r="C16" s="82" t="s">
        <v>269</v>
      </c>
      <c r="D16" s="30" t="s">
        <v>213</v>
      </c>
      <c r="E16" s="30" t="s">
        <v>270</v>
      </c>
      <c r="F16" s="97">
        <v>45724</v>
      </c>
      <c r="G16" s="98" t="s">
        <v>271</v>
      </c>
      <c r="H16" s="30" t="s">
        <v>215</v>
      </c>
      <c r="I16" s="99"/>
      <c r="J16" s="32"/>
    </row>
    <row r="17" spans="1:10" ht="39" customHeight="1">
      <c r="A17" s="251"/>
      <c r="B17" s="30">
        <v>14</v>
      </c>
      <c r="C17" s="82" t="s">
        <v>272</v>
      </c>
      <c r="D17" s="30" t="s">
        <v>213</v>
      </c>
      <c r="E17" s="98" t="s">
        <v>273</v>
      </c>
      <c r="F17" s="97">
        <v>45724</v>
      </c>
      <c r="G17" s="98" t="s">
        <v>274</v>
      </c>
      <c r="H17" s="30" t="s">
        <v>215</v>
      </c>
      <c r="I17" s="99"/>
      <c r="J17" s="32"/>
    </row>
    <row r="18" spans="1:10" ht="33" customHeight="1">
      <c r="A18" s="270"/>
      <c r="B18" s="232"/>
      <c r="C18" s="232"/>
      <c r="D18" s="232"/>
      <c r="E18" s="232"/>
      <c r="F18" s="232"/>
      <c r="G18" s="232"/>
      <c r="H18" s="232"/>
      <c r="I18" s="233"/>
      <c r="J18" s="32"/>
    </row>
    <row r="19" spans="1:10" ht="38.25" customHeight="1">
      <c r="A19" s="38" t="s">
        <v>232</v>
      </c>
      <c r="B19" s="30">
        <v>15</v>
      </c>
      <c r="C19" s="30" t="s">
        <v>15</v>
      </c>
      <c r="D19" s="30" t="s">
        <v>213</v>
      </c>
      <c r="E19" s="30" t="s">
        <v>275</v>
      </c>
      <c r="F19" s="97">
        <v>45724</v>
      </c>
      <c r="G19" s="98" t="s">
        <v>257</v>
      </c>
      <c r="H19" s="30" t="s">
        <v>215</v>
      </c>
      <c r="I19" s="99"/>
      <c r="J19" s="32"/>
    </row>
    <row r="20" spans="1:10" ht="30.75" customHeight="1">
      <c r="A20" s="270"/>
      <c r="B20" s="232"/>
      <c r="C20" s="232"/>
      <c r="D20" s="232"/>
      <c r="E20" s="232"/>
      <c r="F20" s="232"/>
      <c r="G20" s="232"/>
      <c r="H20" s="232"/>
      <c r="I20" s="233"/>
      <c r="J20" s="32"/>
    </row>
    <row r="21" spans="1:10" ht="33" customHeight="1">
      <c r="A21" s="38" t="s">
        <v>235</v>
      </c>
      <c r="B21" s="30">
        <v>16</v>
      </c>
      <c r="C21" s="30" t="s">
        <v>234</v>
      </c>
      <c r="D21" s="30" t="s">
        <v>213</v>
      </c>
      <c r="E21" s="30" t="s">
        <v>236</v>
      </c>
      <c r="F21" s="97">
        <v>45725</v>
      </c>
      <c r="G21" s="98" t="s">
        <v>276</v>
      </c>
      <c r="H21" s="30" t="s">
        <v>215</v>
      </c>
      <c r="I21" s="99"/>
      <c r="J21" s="32"/>
    </row>
    <row r="22" spans="1:10" ht="33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30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32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31.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Q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21.33203125" customWidth="1"/>
    <col min="2" max="3" width="8.88671875" customWidth="1"/>
    <col min="4" max="4" width="8.109375" customWidth="1"/>
    <col min="5" max="5" width="10.88671875" customWidth="1"/>
    <col min="6" max="6" width="7.88671875" customWidth="1"/>
    <col min="7" max="7" width="7.33203125" customWidth="1"/>
    <col min="8" max="8" width="8.77734375" customWidth="1"/>
    <col min="9" max="9" width="4.21875" customWidth="1"/>
    <col min="10" max="10" width="24.44140625" customWidth="1"/>
    <col min="11" max="11" width="9.109375" customWidth="1"/>
    <col min="12" max="12" width="8.88671875" customWidth="1"/>
    <col min="13" max="13" width="9.109375" customWidth="1"/>
    <col min="14" max="14" width="11.77734375" customWidth="1"/>
    <col min="15" max="15" width="8.6640625" customWidth="1"/>
    <col min="16" max="16" width="9.109375" customWidth="1"/>
    <col min="17" max="17" width="9.21875" customWidth="1"/>
  </cols>
  <sheetData>
    <row r="1" spans="1:17" ht="40.5" customHeight="1">
      <c r="A1" s="275" t="s">
        <v>51</v>
      </c>
      <c r="B1" s="232"/>
      <c r="C1" s="232"/>
      <c r="D1" s="232"/>
      <c r="E1" s="232"/>
      <c r="F1" s="232"/>
      <c r="G1" s="232"/>
      <c r="H1" s="233"/>
      <c r="I1" s="267"/>
      <c r="J1" s="276" t="s">
        <v>52</v>
      </c>
      <c r="K1" s="232"/>
      <c r="L1" s="232"/>
      <c r="M1" s="232"/>
      <c r="N1" s="232"/>
      <c r="O1" s="232"/>
      <c r="P1" s="232"/>
      <c r="Q1" s="233"/>
    </row>
    <row r="2" spans="1:17" ht="63.75" customHeight="1">
      <c r="A2" s="30" t="s">
        <v>239</v>
      </c>
      <c r="B2" s="30" t="s">
        <v>240</v>
      </c>
      <c r="C2" s="30" t="s">
        <v>241</v>
      </c>
      <c r="D2" s="30" t="s">
        <v>141</v>
      </c>
      <c r="E2" s="30" t="s">
        <v>242</v>
      </c>
      <c r="F2" s="30" t="s">
        <v>243</v>
      </c>
      <c r="G2" s="30" t="s">
        <v>244</v>
      </c>
      <c r="H2" s="100" t="s">
        <v>245</v>
      </c>
      <c r="I2" s="253"/>
      <c r="J2" s="101" t="s">
        <v>239</v>
      </c>
      <c r="K2" s="30" t="s">
        <v>240</v>
      </c>
      <c r="L2" s="30" t="s">
        <v>241</v>
      </c>
      <c r="M2" s="30" t="s">
        <v>141</v>
      </c>
      <c r="N2" s="30" t="s">
        <v>242</v>
      </c>
      <c r="O2" s="30" t="s">
        <v>243</v>
      </c>
      <c r="P2" s="100" t="s">
        <v>244</v>
      </c>
      <c r="Q2" s="30" t="s">
        <v>245</v>
      </c>
    </row>
    <row r="3" spans="1:17" ht="35.25" customHeight="1">
      <c r="A3" s="102" t="s">
        <v>197</v>
      </c>
      <c r="B3" s="103">
        <v>2</v>
      </c>
      <c r="C3" s="103">
        <v>0</v>
      </c>
      <c r="D3" s="103">
        <v>2</v>
      </c>
      <c r="E3" s="103">
        <v>0</v>
      </c>
      <c r="F3" s="103">
        <v>0</v>
      </c>
      <c r="G3" s="103">
        <v>4</v>
      </c>
      <c r="H3" s="104">
        <v>-4</v>
      </c>
      <c r="I3" s="277"/>
      <c r="J3" s="102" t="s">
        <v>11</v>
      </c>
      <c r="K3" s="103">
        <v>1</v>
      </c>
      <c r="L3" s="103">
        <v>0</v>
      </c>
      <c r="M3" s="103">
        <v>1</v>
      </c>
      <c r="N3" s="103">
        <v>0</v>
      </c>
      <c r="O3" s="103">
        <v>0</v>
      </c>
      <c r="P3" s="103">
        <v>2</v>
      </c>
      <c r="Q3" s="107">
        <v>-2</v>
      </c>
    </row>
    <row r="4" spans="1:17" ht="35.25" customHeight="1">
      <c r="A4" s="122" t="s">
        <v>259</v>
      </c>
      <c r="B4" s="123">
        <v>2</v>
      </c>
      <c r="C4" s="124">
        <v>1</v>
      </c>
      <c r="D4" s="123">
        <v>1</v>
      </c>
      <c r="E4" s="124">
        <v>2</v>
      </c>
      <c r="F4" s="124">
        <v>2</v>
      </c>
      <c r="G4" s="123">
        <v>2</v>
      </c>
      <c r="H4" s="125">
        <v>0</v>
      </c>
      <c r="I4" s="253"/>
      <c r="J4" s="106" t="s">
        <v>262</v>
      </c>
      <c r="K4" s="103">
        <v>3</v>
      </c>
      <c r="L4" s="103">
        <v>3</v>
      </c>
      <c r="M4" s="103">
        <v>0</v>
      </c>
      <c r="N4" s="103">
        <v>6</v>
      </c>
      <c r="O4" s="103">
        <v>6</v>
      </c>
      <c r="P4" s="103">
        <v>0</v>
      </c>
      <c r="Q4" s="103">
        <v>6</v>
      </c>
    </row>
    <row r="5" spans="1:17" ht="33" customHeight="1">
      <c r="A5" s="122" t="s">
        <v>1</v>
      </c>
      <c r="B5" s="123">
        <v>2</v>
      </c>
      <c r="C5" s="123">
        <v>2</v>
      </c>
      <c r="D5" s="124">
        <v>0</v>
      </c>
      <c r="E5" s="123">
        <v>4</v>
      </c>
      <c r="F5" s="123">
        <v>2</v>
      </c>
      <c r="G5" s="124">
        <v>0</v>
      </c>
      <c r="H5" s="125">
        <v>4</v>
      </c>
      <c r="I5" s="253"/>
      <c r="J5" s="102" t="s">
        <v>7</v>
      </c>
      <c r="K5" s="108">
        <v>2</v>
      </c>
      <c r="L5" s="108">
        <v>1</v>
      </c>
      <c r="M5" s="108">
        <v>1</v>
      </c>
      <c r="N5" s="108">
        <v>2</v>
      </c>
      <c r="O5" s="108">
        <v>2</v>
      </c>
      <c r="P5" s="108">
        <v>3</v>
      </c>
      <c r="Q5" s="108">
        <v>-1</v>
      </c>
    </row>
    <row r="6" spans="1:17" ht="34.5" customHeight="1">
      <c r="A6" s="102"/>
      <c r="B6" s="38"/>
      <c r="C6" s="38"/>
      <c r="D6" s="38"/>
      <c r="E6" s="38"/>
      <c r="F6" s="38"/>
      <c r="G6" s="38"/>
      <c r="H6" s="96"/>
      <c r="I6" s="251"/>
      <c r="J6" s="102" t="s">
        <v>13</v>
      </c>
      <c r="K6" s="108">
        <v>2</v>
      </c>
      <c r="L6" s="108">
        <v>0</v>
      </c>
      <c r="M6" s="108">
        <v>2</v>
      </c>
      <c r="N6" s="108">
        <v>0</v>
      </c>
      <c r="O6" s="108">
        <v>1</v>
      </c>
      <c r="P6" s="108">
        <v>4</v>
      </c>
      <c r="Q6" s="108">
        <v>-3</v>
      </c>
    </row>
    <row r="7" spans="1:17" ht="30" customHeight="1">
      <c r="A7" s="265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</row>
    <row r="8" spans="1:17" ht="30" customHeight="1">
      <c r="A8" s="273" t="s">
        <v>246</v>
      </c>
      <c r="B8" s="278" t="s">
        <v>247</v>
      </c>
      <c r="C8" s="279"/>
      <c r="D8" s="280"/>
      <c r="E8" s="278" t="s">
        <v>248</v>
      </c>
      <c r="F8" s="279"/>
      <c r="G8" s="278" t="s">
        <v>249</v>
      </c>
      <c r="H8" s="279"/>
      <c r="I8" s="280"/>
      <c r="J8" s="265"/>
      <c r="K8" s="230"/>
      <c r="L8" s="230"/>
      <c r="M8" s="230"/>
      <c r="N8" s="230"/>
      <c r="O8" s="230"/>
      <c r="P8" s="230"/>
      <c r="Q8" s="230"/>
    </row>
    <row r="9" spans="1:17" ht="30" customHeight="1">
      <c r="A9" s="274"/>
      <c r="B9" s="278" t="s">
        <v>250</v>
      </c>
      <c r="C9" s="279"/>
      <c r="D9" s="280"/>
      <c r="E9" s="278" t="s">
        <v>251</v>
      </c>
      <c r="F9" s="279"/>
      <c r="G9" s="278" t="s">
        <v>252</v>
      </c>
      <c r="H9" s="279"/>
      <c r="I9" s="280"/>
      <c r="J9" s="230"/>
      <c r="K9" s="230"/>
      <c r="L9" s="230"/>
      <c r="M9" s="230"/>
      <c r="N9" s="230"/>
      <c r="O9" s="230"/>
      <c r="P9" s="230"/>
      <c r="Q9" s="230"/>
    </row>
    <row r="10" spans="1:17" ht="30" customHeight="1">
      <c r="A10" s="265"/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</row>
    <row r="11" spans="1:17" ht="15.75" customHeight="1"/>
    <row r="12" spans="1:17" ht="15.75" customHeight="1"/>
    <row r="13" spans="1:17" ht="15.75" customHeight="1"/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:A9"/>
    <mergeCell ref="J8:Q9"/>
    <mergeCell ref="A10:Q10"/>
    <mergeCell ref="A1:H1"/>
    <mergeCell ref="I1:I2"/>
    <mergeCell ref="J1:Q1"/>
    <mergeCell ref="I3:I6"/>
    <mergeCell ref="A7:Q7"/>
    <mergeCell ref="E8:F8"/>
    <mergeCell ref="G8:I8"/>
    <mergeCell ref="B8:D8"/>
    <mergeCell ref="B9:D9"/>
    <mergeCell ref="E9:F9"/>
    <mergeCell ref="G9:I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N1000"/>
  <sheetViews>
    <sheetView workbookViewId="0">
      <selection sqref="A1:I1"/>
    </sheetView>
  </sheetViews>
  <sheetFormatPr defaultColWidth="12.6640625" defaultRowHeight="15" customHeight="1"/>
  <cols>
    <col min="1" max="1" width="11.21875" customWidth="1"/>
    <col min="2" max="2" width="13.77734375" customWidth="1"/>
    <col min="3" max="3" width="24.44140625" customWidth="1"/>
    <col min="4" max="4" width="4.77734375" customWidth="1"/>
    <col min="5" max="5" width="27.77734375" customWidth="1"/>
    <col min="6" max="6" width="20.88671875" customWidth="1"/>
    <col min="7" max="7" width="18.44140625" customWidth="1"/>
    <col min="8" max="8" width="27" customWidth="1"/>
    <col min="9" max="9" width="27.88671875" customWidth="1"/>
  </cols>
  <sheetData>
    <row r="1" spans="1:14" ht="22.8">
      <c r="A1" s="281" t="s">
        <v>27</v>
      </c>
      <c r="B1" s="232"/>
      <c r="C1" s="232"/>
      <c r="D1" s="232"/>
      <c r="E1" s="232"/>
      <c r="F1" s="232"/>
      <c r="G1" s="232"/>
      <c r="H1" s="232"/>
      <c r="I1" s="233"/>
      <c r="J1" s="32"/>
    </row>
    <row r="2" spans="1:14" ht="61.2">
      <c r="A2" s="30"/>
      <c r="B2" s="27" t="s">
        <v>207</v>
      </c>
      <c r="C2" s="28" t="s">
        <v>208</v>
      </c>
      <c r="D2" s="126" t="s">
        <v>209</v>
      </c>
      <c r="E2" s="80" t="s">
        <v>210</v>
      </c>
      <c r="F2" s="27" t="s">
        <v>80</v>
      </c>
      <c r="G2" s="80" t="s">
        <v>81</v>
      </c>
      <c r="H2" s="27" t="s">
        <v>82</v>
      </c>
      <c r="I2" s="27" t="s">
        <v>211</v>
      </c>
      <c r="J2" s="32"/>
    </row>
    <row r="3" spans="1:14" ht="45.6">
      <c r="A3" s="282" t="s">
        <v>212</v>
      </c>
      <c r="B3" s="81">
        <v>1</v>
      </c>
      <c r="C3" s="81" t="s">
        <v>236</v>
      </c>
      <c r="D3" s="83" t="s">
        <v>213</v>
      </c>
      <c r="E3" s="82" t="s">
        <v>253</v>
      </c>
      <c r="F3" s="128">
        <v>45716</v>
      </c>
      <c r="G3" s="81" t="s">
        <v>279</v>
      </c>
      <c r="H3" s="81" t="s">
        <v>280</v>
      </c>
      <c r="I3" s="93" t="s">
        <v>281</v>
      </c>
      <c r="J3" s="32"/>
    </row>
    <row r="4" spans="1:14" ht="45.6">
      <c r="A4" s="253"/>
      <c r="B4" s="86">
        <v>2</v>
      </c>
      <c r="C4" s="86" t="s">
        <v>282</v>
      </c>
      <c r="D4" s="86" t="s">
        <v>213</v>
      </c>
      <c r="E4" s="82" t="s">
        <v>5</v>
      </c>
      <c r="F4" s="129">
        <v>45716</v>
      </c>
      <c r="G4" s="86" t="s">
        <v>283</v>
      </c>
      <c r="H4" s="86" t="s">
        <v>280</v>
      </c>
      <c r="I4" s="95" t="s">
        <v>284</v>
      </c>
      <c r="K4" s="6"/>
      <c r="L4" s="6"/>
    </row>
    <row r="5" spans="1:14" ht="25.2">
      <c r="A5" s="253"/>
      <c r="B5" s="130">
        <v>3</v>
      </c>
      <c r="C5" s="86" t="s">
        <v>5</v>
      </c>
      <c r="D5" s="86" t="s">
        <v>213</v>
      </c>
      <c r="E5" s="82" t="s">
        <v>254</v>
      </c>
      <c r="F5" s="129">
        <v>45717</v>
      </c>
      <c r="G5" s="86" t="s">
        <v>105</v>
      </c>
      <c r="H5" s="86" t="s">
        <v>280</v>
      </c>
      <c r="I5" s="95" t="s">
        <v>285</v>
      </c>
      <c r="J5" s="32"/>
      <c r="K5" s="6"/>
      <c r="L5" s="113"/>
    </row>
    <row r="6" spans="1:14" ht="45.6">
      <c r="A6" s="253"/>
      <c r="B6" s="81">
        <v>4</v>
      </c>
      <c r="C6" s="81" t="s">
        <v>278</v>
      </c>
      <c r="D6" s="81" t="s">
        <v>213</v>
      </c>
      <c r="E6" s="82" t="s">
        <v>253</v>
      </c>
      <c r="F6" s="128">
        <v>45717</v>
      </c>
      <c r="G6" s="81" t="s">
        <v>286</v>
      </c>
      <c r="H6" s="81" t="s">
        <v>280</v>
      </c>
      <c r="I6" s="93" t="s">
        <v>287</v>
      </c>
      <c r="J6" s="32"/>
      <c r="K6" s="6"/>
      <c r="L6" s="6"/>
      <c r="M6" s="131" t="s">
        <v>288</v>
      </c>
      <c r="N6" s="131" t="s">
        <v>289</v>
      </c>
    </row>
    <row r="7" spans="1:14" ht="45.6">
      <c r="A7" s="253"/>
      <c r="B7" s="86">
        <v>5</v>
      </c>
      <c r="C7" s="82" t="s">
        <v>282</v>
      </c>
      <c r="D7" s="86" t="s">
        <v>213</v>
      </c>
      <c r="E7" s="86" t="s">
        <v>234</v>
      </c>
      <c r="F7" s="129">
        <v>45717</v>
      </c>
      <c r="G7" s="86" t="s">
        <v>290</v>
      </c>
      <c r="H7" s="86" t="s">
        <v>280</v>
      </c>
      <c r="I7" s="95" t="s">
        <v>291</v>
      </c>
      <c r="J7" s="32"/>
      <c r="K7" s="6"/>
      <c r="L7" s="6"/>
      <c r="M7" s="131" t="s">
        <v>292</v>
      </c>
      <c r="N7" s="131" t="s">
        <v>293</v>
      </c>
    </row>
    <row r="8" spans="1:14" ht="45.6">
      <c r="A8" s="253"/>
      <c r="B8" s="81">
        <v>6</v>
      </c>
      <c r="C8" s="82" t="s">
        <v>275</v>
      </c>
      <c r="D8" s="83" t="s">
        <v>213</v>
      </c>
      <c r="E8" s="81" t="s">
        <v>278</v>
      </c>
      <c r="F8" s="128">
        <v>45718</v>
      </c>
      <c r="G8" s="81" t="s">
        <v>286</v>
      </c>
      <c r="H8" s="81" t="s">
        <v>280</v>
      </c>
      <c r="I8" s="93" t="s">
        <v>294</v>
      </c>
      <c r="J8" s="32"/>
    </row>
    <row r="9" spans="1:14" ht="45.6">
      <c r="A9" s="253"/>
      <c r="B9" s="86">
        <v>7</v>
      </c>
      <c r="C9" s="82" t="s">
        <v>5</v>
      </c>
      <c r="D9" s="86" t="s">
        <v>213</v>
      </c>
      <c r="E9" s="86" t="s">
        <v>234</v>
      </c>
      <c r="F9" s="129">
        <v>45718</v>
      </c>
      <c r="G9" s="86" t="s">
        <v>295</v>
      </c>
      <c r="H9" s="86" t="s">
        <v>280</v>
      </c>
      <c r="I9" s="95" t="s">
        <v>296</v>
      </c>
      <c r="J9" s="32"/>
    </row>
    <row r="10" spans="1:14" ht="25.2">
      <c r="A10" s="253"/>
      <c r="B10" s="86">
        <v>8</v>
      </c>
      <c r="C10" s="86" t="s">
        <v>282</v>
      </c>
      <c r="D10" s="86" t="s">
        <v>213</v>
      </c>
      <c r="E10" s="82" t="s">
        <v>254</v>
      </c>
      <c r="F10" s="129">
        <v>45718</v>
      </c>
      <c r="G10" s="86" t="s">
        <v>106</v>
      </c>
      <c r="H10" s="86" t="s">
        <v>280</v>
      </c>
      <c r="I10" s="95" t="s">
        <v>297</v>
      </c>
      <c r="J10" s="32"/>
      <c r="K10" s="120"/>
    </row>
    <row r="11" spans="1:14" ht="25.2">
      <c r="A11" s="253"/>
      <c r="B11" s="81">
        <v>9</v>
      </c>
      <c r="C11" s="82" t="s">
        <v>275</v>
      </c>
      <c r="D11" s="81" t="s">
        <v>213</v>
      </c>
      <c r="E11" s="81" t="s">
        <v>236</v>
      </c>
      <c r="F11" s="128">
        <v>45719</v>
      </c>
      <c r="G11" s="81" t="s">
        <v>106</v>
      </c>
      <c r="H11" s="81" t="s">
        <v>280</v>
      </c>
      <c r="I11" s="93" t="s">
        <v>298</v>
      </c>
      <c r="J11" s="32"/>
      <c r="L11" s="120"/>
    </row>
    <row r="12" spans="1:14" ht="45.6">
      <c r="A12" s="253"/>
      <c r="B12" s="86">
        <v>10</v>
      </c>
      <c r="C12" s="82" t="s">
        <v>254</v>
      </c>
      <c r="D12" s="86" t="s">
        <v>213</v>
      </c>
      <c r="E12" s="86" t="s">
        <v>234</v>
      </c>
      <c r="F12" s="129">
        <v>45719</v>
      </c>
      <c r="G12" s="86" t="s">
        <v>290</v>
      </c>
      <c r="H12" s="86" t="s">
        <v>280</v>
      </c>
      <c r="I12" s="95" t="s">
        <v>299</v>
      </c>
      <c r="J12" s="32"/>
      <c r="L12" s="120"/>
    </row>
    <row r="13" spans="1:14" ht="45.6">
      <c r="A13" s="253"/>
      <c r="B13" s="81">
        <v>11</v>
      </c>
      <c r="C13" s="81" t="s">
        <v>253</v>
      </c>
      <c r="D13" s="81" t="s">
        <v>213</v>
      </c>
      <c r="E13" s="82" t="s">
        <v>275</v>
      </c>
      <c r="F13" s="128">
        <v>45720</v>
      </c>
      <c r="G13" s="81" t="s">
        <v>300</v>
      </c>
      <c r="H13" s="81" t="s">
        <v>280</v>
      </c>
      <c r="I13" s="93" t="s">
        <v>301</v>
      </c>
      <c r="J13" s="32"/>
    </row>
    <row r="14" spans="1:14" ht="45.6">
      <c r="A14" s="251"/>
      <c r="B14" s="81">
        <v>12</v>
      </c>
      <c r="C14" s="81" t="s">
        <v>236</v>
      </c>
      <c r="D14" s="81" t="s">
        <v>213</v>
      </c>
      <c r="E14" s="81" t="s">
        <v>11</v>
      </c>
      <c r="F14" s="128">
        <v>45721</v>
      </c>
      <c r="G14" s="81" t="s">
        <v>300</v>
      </c>
      <c r="H14" s="81" t="s">
        <v>280</v>
      </c>
      <c r="I14" s="93"/>
      <c r="J14" s="32"/>
    </row>
    <row r="15" spans="1:14" ht="22.8">
      <c r="A15" s="270"/>
      <c r="B15" s="232"/>
      <c r="C15" s="232"/>
      <c r="D15" s="232"/>
      <c r="E15" s="232"/>
      <c r="F15" s="232"/>
      <c r="G15" s="232"/>
      <c r="H15" s="232"/>
      <c r="I15" s="233"/>
      <c r="J15" s="32"/>
    </row>
    <row r="16" spans="1:14" ht="68.400000000000006">
      <c r="A16" s="272" t="s">
        <v>227</v>
      </c>
      <c r="B16" s="30">
        <v>13</v>
      </c>
      <c r="C16" s="82" t="s">
        <v>302</v>
      </c>
      <c r="D16" s="30" t="s">
        <v>213</v>
      </c>
      <c r="E16" s="30" t="s">
        <v>303</v>
      </c>
      <c r="F16" s="132">
        <v>45723</v>
      </c>
      <c r="G16" s="30" t="s">
        <v>304</v>
      </c>
      <c r="H16" s="30" t="s">
        <v>280</v>
      </c>
      <c r="I16" s="99"/>
      <c r="J16" s="32"/>
    </row>
    <row r="17" spans="1:10" ht="54.75" customHeight="1">
      <c r="A17" s="251"/>
      <c r="B17" s="30">
        <v>14</v>
      </c>
      <c r="C17" s="98" t="s">
        <v>305</v>
      </c>
      <c r="D17" s="30" t="s">
        <v>213</v>
      </c>
      <c r="E17" s="82" t="s">
        <v>306</v>
      </c>
      <c r="F17" s="132">
        <v>45723</v>
      </c>
      <c r="G17" s="30" t="s">
        <v>307</v>
      </c>
      <c r="H17" s="30" t="s">
        <v>280</v>
      </c>
      <c r="I17" s="99"/>
      <c r="J17" s="32"/>
    </row>
    <row r="18" spans="1:10" ht="22.8">
      <c r="A18" s="270"/>
      <c r="B18" s="232"/>
      <c r="C18" s="232"/>
      <c r="D18" s="232"/>
      <c r="E18" s="232"/>
      <c r="F18" s="232"/>
      <c r="G18" s="232"/>
      <c r="H18" s="232"/>
      <c r="I18" s="233"/>
      <c r="J18" s="32"/>
    </row>
    <row r="19" spans="1:10" ht="45.6">
      <c r="A19" s="38" t="s">
        <v>232</v>
      </c>
      <c r="B19" s="30">
        <v>15</v>
      </c>
      <c r="C19" s="98" t="s">
        <v>308</v>
      </c>
      <c r="D19" s="30" t="s">
        <v>213</v>
      </c>
      <c r="E19" s="82" t="s">
        <v>309</v>
      </c>
      <c r="F19" s="132">
        <v>45724</v>
      </c>
      <c r="G19" s="98" t="s">
        <v>310</v>
      </c>
      <c r="H19" s="30" t="s">
        <v>280</v>
      </c>
      <c r="I19" s="99"/>
      <c r="J19" s="32"/>
    </row>
    <row r="20" spans="1:10" ht="22.8">
      <c r="A20" s="270"/>
      <c r="B20" s="232"/>
      <c r="C20" s="232"/>
      <c r="D20" s="232"/>
      <c r="E20" s="232"/>
      <c r="F20" s="232"/>
      <c r="G20" s="232"/>
      <c r="H20" s="232"/>
      <c r="I20" s="233"/>
      <c r="J20" s="32"/>
    </row>
    <row r="21" spans="1:10" ht="45.6">
      <c r="A21" s="38" t="s">
        <v>235</v>
      </c>
      <c r="B21" s="30">
        <v>16</v>
      </c>
      <c r="C21" s="82" t="s">
        <v>311</v>
      </c>
      <c r="D21" s="30" t="s">
        <v>213</v>
      </c>
      <c r="E21" s="30" t="s">
        <v>312</v>
      </c>
      <c r="F21" s="132">
        <v>45724</v>
      </c>
      <c r="G21" s="30" t="s">
        <v>283</v>
      </c>
      <c r="H21" s="30" t="s">
        <v>280</v>
      </c>
      <c r="I21" s="99"/>
      <c r="J21" s="32"/>
    </row>
    <row r="22" spans="1:10" ht="33" customHeight="1">
      <c r="A22" s="32"/>
      <c r="B22" s="32"/>
      <c r="H22" s="32"/>
      <c r="I22" s="32"/>
      <c r="J22" s="32"/>
    </row>
    <row r="23" spans="1:10" ht="30.75" customHeight="1">
      <c r="A23" s="32"/>
      <c r="B23" s="32"/>
      <c r="C23" s="89"/>
      <c r="D23" s="89"/>
      <c r="F23" s="32"/>
      <c r="H23" s="32"/>
      <c r="I23" s="89"/>
      <c r="J23" s="32"/>
    </row>
    <row r="24" spans="1:10" ht="32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31.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S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23.88671875" customWidth="1"/>
    <col min="2" max="2" width="7.21875" customWidth="1"/>
    <col min="3" max="3" width="7.6640625" customWidth="1"/>
    <col min="4" max="4" width="7.44140625" customWidth="1"/>
    <col min="5" max="5" width="6.88671875" customWidth="1"/>
    <col min="6" max="6" width="8.88671875" customWidth="1"/>
    <col min="7" max="7" width="6.88671875" customWidth="1"/>
    <col min="8" max="8" width="12" customWidth="1"/>
    <col min="9" max="9" width="9.33203125" customWidth="1"/>
    <col min="10" max="10" width="0.33203125" customWidth="1"/>
    <col min="11" max="11" width="21.88671875" customWidth="1"/>
    <col min="12" max="12" width="6.109375" customWidth="1"/>
    <col min="13" max="13" width="7" customWidth="1"/>
    <col min="14" max="14" width="7.44140625" customWidth="1"/>
    <col min="15" max="15" width="6.6640625" customWidth="1"/>
    <col min="16" max="16" width="8.88671875" customWidth="1"/>
    <col min="17" max="17" width="6.33203125" customWidth="1"/>
    <col min="18" max="18" width="11.88671875" customWidth="1"/>
    <col min="19" max="19" width="9.44140625" customWidth="1"/>
  </cols>
  <sheetData>
    <row r="1" spans="1:19" ht="40.5" customHeight="1">
      <c r="A1" s="275" t="s">
        <v>51</v>
      </c>
      <c r="B1" s="232"/>
      <c r="C1" s="232"/>
      <c r="D1" s="232"/>
      <c r="E1" s="232"/>
      <c r="F1" s="232"/>
      <c r="G1" s="232"/>
      <c r="H1" s="232"/>
      <c r="I1" s="233"/>
      <c r="J1" s="62"/>
      <c r="K1" s="276" t="s">
        <v>52</v>
      </c>
      <c r="L1" s="232"/>
      <c r="M1" s="232"/>
      <c r="N1" s="232"/>
      <c r="O1" s="232"/>
      <c r="P1" s="232"/>
      <c r="Q1" s="232"/>
      <c r="R1" s="232"/>
      <c r="S1" s="233"/>
    </row>
    <row r="2" spans="1:19" ht="63.75" customHeight="1">
      <c r="A2" s="30" t="s">
        <v>239</v>
      </c>
      <c r="B2" s="30" t="s">
        <v>240</v>
      </c>
      <c r="C2" s="30" t="s">
        <v>241</v>
      </c>
      <c r="D2" s="30" t="s">
        <v>313</v>
      </c>
      <c r="E2" s="30" t="s">
        <v>141</v>
      </c>
      <c r="F2" s="30" t="s">
        <v>314</v>
      </c>
      <c r="G2" s="30" t="s">
        <v>315</v>
      </c>
      <c r="H2" s="30" t="s">
        <v>316</v>
      </c>
      <c r="I2" s="100" t="s">
        <v>317</v>
      </c>
      <c r="J2" s="105"/>
      <c r="K2" s="30" t="s">
        <v>239</v>
      </c>
      <c r="L2" s="30" t="s">
        <v>240</v>
      </c>
      <c r="M2" s="30" t="s">
        <v>241</v>
      </c>
      <c r="N2" s="30" t="s">
        <v>313</v>
      </c>
      <c r="O2" s="30" t="s">
        <v>141</v>
      </c>
      <c r="P2" s="30" t="s">
        <v>314</v>
      </c>
      <c r="Q2" s="30" t="s">
        <v>315</v>
      </c>
      <c r="R2" s="30" t="s">
        <v>316</v>
      </c>
      <c r="S2" s="30" t="s">
        <v>317</v>
      </c>
    </row>
    <row r="3" spans="1:19" ht="36.75" customHeight="1">
      <c r="A3" s="122" t="s">
        <v>275</v>
      </c>
      <c r="B3" s="133">
        <v>3</v>
      </c>
      <c r="C3" s="133">
        <v>3</v>
      </c>
      <c r="D3" s="134">
        <v>0</v>
      </c>
      <c r="E3" s="134">
        <v>0</v>
      </c>
      <c r="F3" s="133">
        <v>6</v>
      </c>
      <c r="G3" s="135"/>
      <c r="H3" s="135"/>
      <c r="I3" s="136"/>
      <c r="J3" s="127"/>
      <c r="K3" s="122" t="s">
        <v>5</v>
      </c>
      <c r="L3" s="134">
        <v>3</v>
      </c>
      <c r="M3" s="134">
        <v>2</v>
      </c>
      <c r="N3" s="134">
        <v>0</v>
      </c>
      <c r="O3" s="134">
        <v>1</v>
      </c>
      <c r="P3" s="134">
        <v>4</v>
      </c>
      <c r="Q3" s="135"/>
      <c r="R3" s="135"/>
      <c r="S3" s="135"/>
    </row>
    <row r="4" spans="1:19" ht="35.25" customHeight="1">
      <c r="A4" s="102" t="s">
        <v>236</v>
      </c>
      <c r="B4" s="135">
        <v>2</v>
      </c>
      <c r="C4" s="135">
        <v>0</v>
      </c>
      <c r="D4" s="135">
        <v>0</v>
      </c>
      <c r="E4" s="135">
        <v>2</v>
      </c>
      <c r="F4" s="135">
        <v>0</v>
      </c>
      <c r="G4" s="135"/>
      <c r="H4" s="135"/>
      <c r="I4" s="136"/>
      <c r="J4" s="127"/>
      <c r="K4" s="122" t="s">
        <v>254</v>
      </c>
      <c r="L4" s="134">
        <v>3</v>
      </c>
      <c r="M4" s="134">
        <v>3</v>
      </c>
      <c r="N4" s="134">
        <v>0</v>
      </c>
      <c r="O4" s="134">
        <v>0</v>
      </c>
      <c r="P4" s="134">
        <v>6</v>
      </c>
      <c r="Q4" s="135"/>
      <c r="R4" s="135"/>
      <c r="S4" s="135"/>
    </row>
    <row r="5" spans="1:19" ht="36.75" customHeight="1">
      <c r="A5" s="122" t="s">
        <v>253</v>
      </c>
      <c r="B5" s="133">
        <v>3</v>
      </c>
      <c r="C5" s="134">
        <v>2</v>
      </c>
      <c r="D5" s="134">
        <v>0</v>
      </c>
      <c r="E5" s="133">
        <v>1</v>
      </c>
      <c r="F5" s="134">
        <v>4</v>
      </c>
      <c r="G5" s="38"/>
      <c r="H5" s="38"/>
      <c r="I5" s="96"/>
      <c r="J5" s="127"/>
      <c r="K5" s="137" t="s">
        <v>277</v>
      </c>
      <c r="L5" s="38">
        <v>3</v>
      </c>
      <c r="M5" s="38">
        <v>1</v>
      </c>
      <c r="N5" s="38">
        <v>0</v>
      </c>
      <c r="O5" s="38">
        <v>2</v>
      </c>
      <c r="P5" s="38">
        <v>2</v>
      </c>
      <c r="Q5" s="38"/>
      <c r="R5" s="38"/>
      <c r="S5" s="38"/>
    </row>
    <row r="6" spans="1:19" ht="38.25" customHeight="1">
      <c r="A6" s="102" t="s">
        <v>278</v>
      </c>
      <c r="B6" s="138">
        <v>2</v>
      </c>
      <c r="C6" s="38">
        <v>0</v>
      </c>
      <c r="D6" s="38">
        <v>0</v>
      </c>
      <c r="E6" s="38">
        <v>2</v>
      </c>
      <c r="F6" s="38">
        <v>0</v>
      </c>
      <c r="G6" s="38"/>
      <c r="H6" s="38"/>
      <c r="I6" s="96"/>
      <c r="J6" s="139"/>
      <c r="K6" s="102" t="s">
        <v>234</v>
      </c>
      <c r="L6" s="140">
        <v>3</v>
      </c>
      <c r="M6" s="135">
        <v>0</v>
      </c>
      <c r="N6" s="135">
        <v>0</v>
      </c>
      <c r="O6" s="135">
        <v>3</v>
      </c>
      <c r="P6" s="135">
        <v>0</v>
      </c>
      <c r="Q6" s="135"/>
      <c r="R6" s="135"/>
      <c r="S6" s="135"/>
    </row>
    <row r="7" spans="1:19" ht="30" customHeight="1">
      <c r="A7" s="265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</row>
    <row r="8" spans="1:19" ht="30" customHeight="1">
      <c r="A8" s="273" t="s">
        <v>246</v>
      </c>
      <c r="B8" s="278" t="s">
        <v>247</v>
      </c>
      <c r="C8" s="279"/>
      <c r="D8" s="280"/>
      <c r="E8" s="278" t="s">
        <v>248</v>
      </c>
      <c r="F8" s="279"/>
      <c r="G8" s="284" t="s">
        <v>318</v>
      </c>
      <c r="H8" s="285"/>
      <c r="I8" s="283"/>
      <c r="J8" s="230"/>
      <c r="K8" s="230"/>
      <c r="L8" s="230"/>
      <c r="M8" s="230"/>
      <c r="N8" s="230"/>
      <c r="O8" s="230"/>
      <c r="P8" s="230"/>
      <c r="Q8" s="230"/>
      <c r="R8" s="230"/>
      <c r="S8" s="230"/>
    </row>
    <row r="9" spans="1:19" ht="30" customHeight="1">
      <c r="A9" s="274"/>
      <c r="B9" s="278" t="s">
        <v>319</v>
      </c>
      <c r="C9" s="279"/>
      <c r="D9" s="280"/>
      <c r="E9" s="278" t="s">
        <v>249</v>
      </c>
      <c r="F9" s="279"/>
      <c r="G9" s="286"/>
      <c r="H9" s="287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</row>
    <row r="10" spans="1:19" ht="30" customHeight="1">
      <c r="A10" s="265"/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</row>
    <row r="11" spans="1:19" ht="15.75" customHeight="1"/>
    <row r="12" spans="1:19" ht="15.75" customHeight="1"/>
    <row r="13" spans="1:19" ht="15.75" customHeight="1"/>
    <row r="14" spans="1:19" ht="15.75" customHeight="1"/>
    <row r="15" spans="1:19" ht="15.75" customHeight="1"/>
    <row r="16" spans="1:1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:D8"/>
    <mergeCell ref="B9:D9"/>
    <mergeCell ref="I8:S9"/>
    <mergeCell ref="A10:S10"/>
    <mergeCell ref="A1:I1"/>
    <mergeCell ref="K1:S1"/>
    <mergeCell ref="A7:S7"/>
    <mergeCell ref="A8:A9"/>
    <mergeCell ref="E8:F8"/>
    <mergeCell ref="G8:H9"/>
    <mergeCell ref="E9:F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M1000"/>
  <sheetViews>
    <sheetView workbookViewId="0">
      <selection sqref="A1:I1"/>
    </sheetView>
  </sheetViews>
  <sheetFormatPr defaultColWidth="12.6640625" defaultRowHeight="15" customHeight="1"/>
  <cols>
    <col min="1" max="1" width="11.21875" customWidth="1"/>
    <col min="2" max="2" width="13.44140625" customWidth="1"/>
    <col min="3" max="3" width="27.77734375" customWidth="1"/>
    <col min="4" max="4" width="4.77734375" customWidth="1"/>
    <col min="5" max="5" width="27" customWidth="1"/>
    <col min="6" max="6" width="20.109375" customWidth="1"/>
    <col min="7" max="7" width="18.44140625" customWidth="1"/>
    <col min="8" max="8" width="27.109375" customWidth="1"/>
    <col min="9" max="9" width="26" customWidth="1"/>
  </cols>
  <sheetData>
    <row r="1" spans="1:13" ht="22.8">
      <c r="A1" s="281" t="s">
        <v>28</v>
      </c>
      <c r="B1" s="232"/>
      <c r="C1" s="232"/>
      <c r="D1" s="232"/>
      <c r="E1" s="232"/>
      <c r="F1" s="232"/>
      <c r="G1" s="232"/>
      <c r="H1" s="232"/>
      <c r="I1" s="233"/>
      <c r="J1" s="32"/>
    </row>
    <row r="2" spans="1:13" ht="61.2">
      <c r="A2" s="30"/>
      <c r="B2" s="27" t="s">
        <v>207</v>
      </c>
      <c r="C2" s="28" t="s">
        <v>208</v>
      </c>
      <c r="D2" s="126" t="s">
        <v>209</v>
      </c>
      <c r="E2" s="80" t="s">
        <v>210</v>
      </c>
      <c r="F2" s="27" t="s">
        <v>80</v>
      </c>
      <c r="G2" s="80" t="s">
        <v>81</v>
      </c>
      <c r="H2" s="27" t="s">
        <v>82</v>
      </c>
      <c r="I2" s="27" t="s">
        <v>211</v>
      </c>
      <c r="J2" s="32"/>
    </row>
    <row r="3" spans="1:13" ht="25.2">
      <c r="A3" s="272" t="s">
        <v>212</v>
      </c>
      <c r="B3" s="81">
        <v>1</v>
      </c>
      <c r="C3" s="81" t="s">
        <v>197</v>
      </c>
      <c r="D3" s="81" t="s">
        <v>213</v>
      </c>
      <c r="E3" s="82" t="s">
        <v>13</v>
      </c>
      <c r="F3" s="84">
        <v>45716</v>
      </c>
      <c r="G3" s="81" t="s">
        <v>322</v>
      </c>
      <c r="H3" s="81" t="s">
        <v>280</v>
      </c>
      <c r="I3" s="92">
        <v>45691</v>
      </c>
      <c r="J3" s="32"/>
    </row>
    <row r="4" spans="1:13" ht="45.6">
      <c r="A4" s="253"/>
      <c r="B4" s="81">
        <v>2</v>
      </c>
      <c r="C4" s="82" t="s">
        <v>323</v>
      </c>
      <c r="D4" s="81" t="s">
        <v>213</v>
      </c>
      <c r="E4" s="81" t="s">
        <v>3</v>
      </c>
      <c r="F4" s="84">
        <v>45716</v>
      </c>
      <c r="G4" s="81" t="s">
        <v>324</v>
      </c>
      <c r="H4" s="81" t="s">
        <v>280</v>
      </c>
      <c r="I4" s="93" t="s">
        <v>325</v>
      </c>
      <c r="J4" s="32"/>
      <c r="K4" s="6"/>
    </row>
    <row r="5" spans="1:13" ht="25.2">
      <c r="A5" s="253"/>
      <c r="B5" s="81">
        <v>3</v>
      </c>
      <c r="C5" s="81" t="s">
        <v>197</v>
      </c>
      <c r="D5" s="81" t="s">
        <v>213</v>
      </c>
      <c r="E5" s="82" t="s">
        <v>321</v>
      </c>
      <c r="F5" s="84">
        <v>45717</v>
      </c>
      <c r="G5" s="81" t="s">
        <v>326</v>
      </c>
      <c r="H5" s="81" t="s">
        <v>280</v>
      </c>
      <c r="I5" s="92">
        <v>45791</v>
      </c>
      <c r="J5" s="32"/>
      <c r="K5" s="6"/>
    </row>
    <row r="6" spans="1:13" ht="45.6">
      <c r="A6" s="253"/>
      <c r="B6" s="81">
        <v>4</v>
      </c>
      <c r="C6" s="81" t="s">
        <v>3</v>
      </c>
      <c r="D6" s="81" t="s">
        <v>213</v>
      </c>
      <c r="E6" s="82" t="s">
        <v>13</v>
      </c>
      <c r="F6" s="84">
        <v>45717</v>
      </c>
      <c r="G6" s="81" t="s">
        <v>327</v>
      </c>
      <c r="H6" s="81" t="s">
        <v>280</v>
      </c>
      <c r="I6" s="92">
        <v>45669</v>
      </c>
      <c r="J6" s="32"/>
      <c r="K6" s="6"/>
    </row>
    <row r="7" spans="1:13" ht="25.2">
      <c r="A7" s="253"/>
      <c r="B7" s="81">
        <v>5</v>
      </c>
      <c r="C7" s="82" t="s">
        <v>5</v>
      </c>
      <c r="D7" s="81" t="s">
        <v>213</v>
      </c>
      <c r="E7" s="81" t="s">
        <v>320</v>
      </c>
      <c r="F7" s="84">
        <v>45718</v>
      </c>
      <c r="G7" s="81" t="s">
        <v>322</v>
      </c>
      <c r="H7" s="81" t="s">
        <v>280</v>
      </c>
      <c r="I7" s="92">
        <v>45689</v>
      </c>
      <c r="J7" s="32"/>
      <c r="K7" s="6"/>
    </row>
    <row r="8" spans="1:13" ht="45.6">
      <c r="A8" s="253"/>
      <c r="B8" s="81">
        <v>6</v>
      </c>
      <c r="C8" s="82" t="s">
        <v>321</v>
      </c>
      <c r="D8" s="81" t="s">
        <v>213</v>
      </c>
      <c r="E8" s="81" t="s">
        <v>13</v>
      </c>
      <c r="F8" s="84">
        <v>45718</v>
      </c>
      <c r="G8" s="81" t="s">
        <v>324</v>
      </c>
      <c r="H8" s="81" t="s">
        <v>280</v>
      </c>
      <c r="I8" s="92">
        <v>45778</v>
      </c>
      <c r="J8" s="32"/>
      <c r="K8" s="113"/>
      <c r="L8" s="131" t="s">
        <v>288</v>
      </c>
      <c r="M8" s="131" t="s">
        <v>198</v>
      </c>
    </row>
    <row r="9" spans="1:13" ht="25.2">
      <c r="A9" s="253"/>
      <c r="B9" s="81">
        <v>7</v>
      </c>
      <c r="C9" s="81" t="s">
        <v>3</v>
      </c>
      <c r="D9" s="81" t="s">
        <v>213</v>
      </c>
      <c r="E9" s="82" t="s">
        <v>197</v>
      </c>
      <c r="F9" s="84">
        <v>45720</v>
      </c>
      <c r="G9" s="81" t="s">
        <v>322</v>
      </c>
      <c r="H9" s="81" t="s">
        <v>280</v>
      </c>
      <c r="I9" s="93" t="s">
        <v>328</v>
      </c>
      <c r="J9" s="32"/>
      <c r="L9" s="131" t="s">
        <v>292</v>
      </c>
      <c r="M9" s="131" t="s">
        <v>202</v>
      </c>
    </row>
    <row r="10" spans="1:13" ht="45.6">
      <c r="A10" s="253"/>
      <c r="B10" s="81">
        <v>8</v>
      </c>
      <c r="C10" s="81" t="s">
        <v>320</v>
      </c>
      <c r="D10" s="81" t="s">
        <v>213</v>
      </c>
      <c r="E10" s="82" t="s">
        <v>321</v>
      </c>
      <c r="F10" s="84">
        <v>45720</v>
      </c>
      <c r="G10" s="81" t="s">
        <v>324</v>
      </c>
      <c r="H10" s="81" t="s">
        <v>280</v>
      </c>
      <c r="I10" s="92">
        <v>45699</v>
      </c>
      <c r="J10" s="32"/>
    </row>
    <row r="11" spans="1:13" ht="25.2">
      <c r="A11" s="253"/>
      <c r="B11" s="81">
        <v>9</v>
      </c>
      <c r="C11" s="81" t="s">
        <v>320</v>
      </c>
      <c r="D11" s="81" t="s">
        <v>213</v>
      </c>
      <c r="E11" s="81" t="s">
        <v>13</v>
      </c>
      <c r="F11" s="84">
        <v>45721</v>
      </c>
      <c r="G11" s="81" t="s">
        <v>322</v>
      </c>
      <c r="H11" s="81" t="s">
        <v>280</v>
      </c>
      <c r="I11" s="93"/>
      <c r="J11" s="32"/>
    </row>
    <row r="12" spans="1:13" ht="45.6">
      <c r="A12" s="251"/>
      <c r="B12" s="81">
        <v>10</v>
      </c>
      <c r="C12" s="81" t="s">
        <v>321</v>
      </c>
      <c r="D12" s="81" t="s">
        <v>213</v>
      </c>
      <c r="E12" s="81" t="s">
        <v>3</v>
      </c>
      <c r="F12" s="84">
        <v>45721</v>
      </c>
      <c r="G12" s="81" t="s">
        <v>324</v>
      </c>
      <c r="H12" s="81" t="s">
        <v>280</v>
      </c>
      <c r="I12" s="93"/>
      <c r="J12" s="32"/>
    </row>
    <row r="13" spans="1:13" ht="25.2">
      <c r="A13" s="141"/>
      <c r="B13" s="89"/>
      <c r="C13" s="89"/>
      <c r="D13" s="89"/>
      <c r="E13" s="89"/>
      <c r="F13" s="90"/>
      <c r="G13" s="89"/>
      <c r="H13" s="89"/>
      <c r="I13" s="142"/>
      <c r="J13" s="32"/>
    </row>
    <row r="14" spans="1:13" ht="25.2">
      <c r="A14" s="141"/>
      <c r="B14" s="89"/>
      <c r="C14" s="89"/>
      <c r="D14" s="89"/>
      <c r="E14" s="89"/>
      <c r="F14" s="90"/>
      <c r="G14" s="89"/>
      <c r="H14" s="89"/>
      <c r="I14" s="142"/>
      <c r="J14" s="32"/>
    </row>
    <row r="15" spans="1:13" ht="22.8">
      <c r="A15" s="288"/>
      <c r="B15" s="244"/>
      <c r="C15" s="244"/>
      <c r="D15" s="244"/>
      <c r="E15" s="244"/>
      <c r="F15" s="244"/>
      <c r="G15" s="244"/>
      <c r="H15" s="244"/>
      <c r="I15" s="239"/>
      <c r="J15" s="32"/>
    </row>
    <row r="16" spans="1:13" ht="45.6">
      <c r="A16" s="272" t="s">
        <v>227</v>
      </c>
      <c r="B16" s="30">
        <v>13</v>
      </c>
      <c r="C16" s="98" t="s">
        <v>44</v>
      </c>
      <c r="D16" s="30" t="s">
        <v>213</v>
      </c>
      <c r="E16" s="30" t="s">
        <v>45</v>
      </c>
      <c r="F16" s="132">
        <v>45723</v>
      </c>
      <c r="G16" s="98" t="s">
        <v>329</v>
      </c>
      <c r="H16" s="30" t="s">
        <v>280</v>
      </c>
      <c r="I16" s="99"/>
    </row>
    <row r="17" spans="1:9" ht="45.6">
      <c r="A17" s="251"/>
      <c r="B17" s="30">
        <v>14</v>
      </c>
      <c r="C17" s="98" t="s">
        <v>46</v>
      </c>
      <c r="D17" s="30" t="s">
        <v>213</v>
      </c>
      <c r="E17" s="30" t="s">
        <v>43</v>
      </c>
      <c r="F17" s="132">
        <v>45723</v>
      </c>
      <c r="G17" s="98" t="s">
        <v>330</v>
      </c>
      <c r="H17" s="30" t="s">
        <v>280</v>
      </c>
      <c r="I17" s="99"/>
    </row>
    <row r="18" spans="1:9" ht="20.399999999999999">
      <c r="A18" s="270"/>
      <c r="B18" s="232"/>
      <c r="C18" s="232"/>
      <c r="D18" s="232"/>
      <c r="E18" s="232"/>
      <c r="F18" s="232"/>
      <c r="G18" s="232"/>
      <c r="H18" s="232"/>
      <c r="I18" s="233"/>
    </row>
    <row r="19" spans="1:9" ht="45.6">
      <c r="A19" s="38" t="s">
        <v>232</v>
      </c>
      <c r="B19" s="30">
        <v>15</v>
      </c>
      <c r="C19" s="82" t="s">
        <v>308</v>
      </c>
      <c r="D19" s="30" t="s">
        <v>213</v>
      </c>
      <c r="E19" s="30" t="s">
        <v>331</v>
      </c>
      <c r="F19" s="132">
        <v>45724</v>
      </c>
      <c r="G19" s="98" t="s">
        <v>332</v>
      </c>
      <c r="H19" s="30" t="s">
        <v>280</v>
      </c>
      <c r="I19" s="99"/>
    </row>
    <row r="20" spans="1:9" ht="20.399999999999999">
      <c r="A20" s="270"/>
      <c r="B20" s="232"/>
      <c r="C20" s="232"/>
      <c r="D20" s="232"/>
      <c r="E20" s="232"/>
      <c r="F20" s="232"/>
      <c r="G20" s="232"/>
      <c r="H20" s="232"/>
      <c r="I20" s="233"/>
    </row>
    <row r="21" spans="1:9" ht="45.6">
      <c r="A21" s="38" t="s">
        <v>235</v>
      </c>
      <c r="B21" s="30">
        <v>16</v>
      </c>
      <c r="C21" s="82" t="s">
        <v>333</v>
      </c>
      <c r="D21" s="30" t="s">
        <v>213</v>
      </c>
      <c r="E21" s="30" t="s">
        <v>334</v>
      </c>
      <c r="F21" s="132">
        <v>45724</v>
      </c>
      <c r="G21" s="30" t="s">
        <v>335</v>
      </c>
      <c r="H21" s="30" t="s">
        <v>280</v>
      </c>
      <c r="I21" s="99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2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S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23.88671875" customWidth="1"/>
    <col min="2" max="2" width="7.21875" customWidth="1"/>
    <col min="3" max="3" width="7.6640625" customWidth="1"/>
    <col min="4" max="4" width="7.44140625" customWidth="1"/>
    <col min="5" max="5" width="6.88671875" customWidth="1"/>
    <col min="6" max="6" width="8.88671875" customWidth="1"/>
    <col min="7" max="7" width="6.88671875" customWidth="1"/>
    <col min="8" max="8" width="14.88671875" customWidth="1"/>
    <col min="9" max="9" width="13" customWidth="1"/>
    <col min="10" max="10" width="3.33203125" customWidth="1"/>
  </cols>
  <sheetData>
    <row r="1" spans="1:19" ht="40.5" customHeight="1">
      <c r="A1" s="289" t="s">
        <v>51</v>
      </c>
      <c r="B1" s="232"/>
      <c r="C1" s="232"/>
      <c r="D1" s="232"/>
      <c r="E1" s="232"/>
      <c r="F1" s="232"/>
      <c r="G1" s="232"/>
      <c r="H1" s="232"/>
      <c r="I1" s="233"/>
      <c r="J1" s="143"/>
      <c r="K1" s="290"/>
      <c r="L1" s="232"/>
      <c r="M1" s="232"/>
      <c r="N1" s="232"/>
      <c r="O1" s="232"/>
      <c r="P1" s="232"/>
      <c r="Q1" s="232"/>
      <c r="R1" s="232"/>
      <c r="S1" s="233"/>
    </row>
    <row r="2" spans="1:19" ht="63.75" customHeight="1">
      <c r="A2" s="144" t="s">
        <v>239</v>
      </c>
      <c r="B2" s="144" t="s">
        <v>240</v>
      </c>
      <c r="C2" s="144" t="s">
        <v>241</v>
      </c>
      <c r="D2" s="144" t="s">
        <v>313</v>
      </c>
      <c r="E2" s="144" t="s">
        <v>141</v>
      </c>
      <c r="F2" s="144" t="s">
        <v>314</v>
      </c>
      <c r="G2" s="144" t="s">
        <v>336</v>
      </c>
      <c r="H2" s="144" t="s">
        <v>337</v>
      </c>
      <c r="I2" s="145" t="s">
        <v>338</v>
      </c>
      <c r="J2" s="146"/>
      <c r="K2" s="144"/>
      <c r="L2" s="144"/>
      <c r="M2" s="144"/>
      <c r="N2" s="144"/>
      <c r="O2" s="144"/>
      <c r="P2" s="144"/>
      <c r="Q2" s="144"/>
      <c r="R2" s="144"/>
      <c r="S2" s="144"/>
    </row>
    <row r="3" spans="1:19" ht="36.75" customHeight="1">
      <c r="A3" s="15" t="s">
        <v>197</v>
      </c>
      <c r="B3" s="147">
        <v>4</v>
      </c>
      <c r="C3" s="147">
        <v>2</v>
      </c>
      <c r="D3" s="147">
        <v>0</v>
      </c>
      <c r="E3" s="147">
        <v>2</v>
      </c>
      <c r="F3" s="147">
        <v>4</v>
      </c>
      <c r="G3" s="147">
        <v>13</v>
      </c>
      <c r="H3" s="147">
        <v>4</v>
      </c>
      <c r="I3" s="148">
        <f t="shared" ref="I3:I7" si="0">G3/H3</f>
        <v>3.25</v>
      </c>
      <c r="J3" s="146"/>
      <c r="K3" s="102"/>
      <c r="L3" s="149"/>
      <c r="M3" s="149"/>
      <c r="N3" s="149"/>
      <c r="O3" s="149"/>
      <c r="P3" s="149"/>
      <c r="Q3" s="149"/>
      <c r="R3" s="149"/>
      <c r="S3" s="149"/>
    </row>
    <row r="4" spans="1:19" ht="35.25" customHeight="1">
      <c r="A4" s="15" t="s">
        <v>320</v>
      </c>
      <c r="B4" s="147">
        <v>3</v>
      </c>
      <c r="C4" s="147">
        <v>1</v>
      </c>
      <c r="D4" s="147">
        <v>0</v>
      </c>
      <c r="E4" s="147">
        <v>2</v>
      </c>
      <c r="F4" s="147">
        <v>2</v>
      </c>
      <c r="G4" s="147">
        <v>14</v>
      </c>
      <c r="H4" s="147">
        <v>3</v>
      </c>
      <c r="I4" s="148">
        <f t="shared" si="0"/>
        <v>4.666666666666667</v>
      </c>
      <c r="J4" s="146"/>
      <c r="K4" s="106"/>
      <c r="L4" s="149"/>
      <c r="M4" s="149"/>
      <c r="N4" s="149"/>
      <c r="O4" s="149"/>
      <c r="P4" s="149"/>
      <c r="Q4" s="149"/>
      <c r="R4" s="149"/>
      <c r="S4" s="149"/>
    </row>
    <row r="5" spans="1:19" ht="36.75" customHeight="1">
      <c r="A5" s="15" t="s">
        <v>13</v>
      </c>
      <c r="B5" s="150">
        <v>3</v>
      </c>
      <c r="C5" s="150">
        <v>2</v>
      </c>
      <c r="D5" s="150">
        <v>0</v>
      </c>
      <c r="E5" s="150">
        <v>1</v>
      </c>
      <c r="F5" s="150">
        <v>4</v>
      </c>
      <c r="G5" s="150">
        <v>16</v>
      </c>
      <c r="H5" s="150">
        <v>3</v>
      </c>
      <c r="I5" s="148">
        <f t="shared" si="0"/>
        <v>5.333333333333333</v>
      </c>
      <c r="J5" s="146"/>
      <c r="K5" s="102"/>
      <c r="L5" s="112"/>
      <c r="M5" s="112"/>
      <c r="N5" s="112"/>
      <c r="O5" s="112"/>
      <c r="P5" s="112"/>
      <c r="Q5" s="112"/>
      <c r="R5" s="112"/>
      <c r="S5" s="112"/>
    </row>
    <row r="6" spans="1:19" ht="38.25" customHeight="1">
      <c r="A6" s="151" t="s">
        <v>321</v>
      </c>
      <c r="B6" s="123">
        <v>3</v>
      </c>
      <c r="C6" s="123">
        <v>3</v>
      </c>
      <c r="D6" s="123">
        <v>0</v>
      </c>
      <c r="E6" s="123">
        <v>0</v>
      </c>
      <c r="F6" s="123">
        <v>6</v>
      </c>
      <c r="G6" s="123">
        <v>30</v>
      </c>
      <c r="H6" s="123">
        <v>3</v>
      </c>
      <c r="I6" s="124">
        <f t="shared" si="0"/>
        <v>10</v>
      </c>
      <c r="J6" s="152"/>
      <c r="K6" s="102"/>
      <c r="L6" s="149"/>
      <c r="M6" s="149"/>
      <c r="N6" s="149"/>
      <c r="O6" s="149"/>
      <c r="P6" s="149"/>
      <c r="Q6" s="149"/>
      <c r="R6" s="149"/>
      <c r="S6" s="149"/>
    </row>
    <row r="7" spans="1:19" ht="38.25" customHeight="1">
      <c r="A7" s="78" t="s">
        <v>3</v>
      </c>
      <c r="B7" s="150">
        <v>3</v>
      </c>
      <c r="C7" s="150">
        <v>0</v>
      </c>
      <c r="D7" s="150">
        <v>0</v>
      </c>
      <c r="E7" s="150">
        <v>3</v>
      </c>
      <c r="F7" s="150">
        <v>0</v>
      </c>
      <c r="G7" s="150">
        <v>1</v>
      </c>
      <c r="H7" s="150">
        <v>3</v>
      </c>
      <c r="I7" s="148">
        <f t="shared" si="0"/>
        <v>0.33333333333333331</v>
      </c>
      <c r="J7" s="114"/>
      <c r="K7" s="114"/>
      <c r="L7" s="114"/>
      <c r="M7" s="114"/>
      <c r="N7" s="114"/>
      <c r="O7" s="114"/>
      <c r="P7" s="114"/>
      <c r="Q7" s="114"/>
      <c r="R7" s="114"/>
      <c r="S7" s="114"/>
    </row>
    <row r="8" spans="1:19" ht="24" customHeight="1">
      <c r="A8" s="291" t="s">
        <v>246</v>
      </c>
      <c r="B8" s="292" t="s">
        <v>247</v>
      </c>
      <c r="C8" s="279"/>
      <c r="D8" s="280"/>
      <c r="E8" s="292" t="s">
        <v>248</v>
      </c>
      <c r="F8" s="279"/>
      <c r="G8" s="293" t="s">
        <v>318</v>
      </c>
      <c r="H8" s="285"/>
      <c r="I8" s="294"/>
      <c r="J8" s="230"/>
      <c r="K8" s="230"/>
      <c r="L8" s="230"/>
      <c r="M8" s="230"/>
      <c r="N8" s="230"/>
      <c r="O8" s="230"/>
      <c r="P8" s="230"/>
      <c r="Q8" s="230"/>
      <c r="R8" s="230"/>
      <c r="S8" s="230"/>
    </row>
    <row r="9" spans="1:19" ht="26.25" customHeight="1">
      <c r="A9" s="274"/>
      <c r="B9" s="292" t="s">
        <v>319</v>
      </c>
      <c r="C9" s="279"/>
      <c r="D9" s="280"/>
      <c r="E9" s="292" t="s">
        <v>249</v>
      </c>
      <c r="F9" s="279"/>
      <c r="G9" s="286"/>
      <c r="H9" s="287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</row>
    <row r="10" spans="1:19" ht="21.75" customHeight="1">
      <c r="A10" s="153"/>
      <c r="B10" s="278" t="s">
        <v>319</v>
      </c>
      <c r="C10" s="279"/>
      <c r="D10" s="280"/>
      <c r="E10" s="278" t="s">
        <v>249</v>
      </c>
      <c r="F10" s="279"/>
      <c r="G10" s="154"/>
      <c r="H10" s="155"/>
      <c r="I10" s="154"/>
      <c r="J10" s="155"/>
    </row>
    <row r="11" spans="1:19" ht="30" customHeight="1">
      <c r="A11" s="265"/>
      <c r="B11" s="230"/>
      <c r="C11" s="230"/>
      <c r="D11" s="230"/>
      <c r="E11" s="230"/>
      <c r="F11" s="230"/>
      <c r="G11" s="230"/>
      <c r="H11" s="230"/>
      <c r="I11" s="230"/>
      <c r="J11" s="230"/>
    </row>
    <row r="12" spans="1:19" ht="30" customHeight="1">
      <c r="J12" s="34"/>
    </row>
    <row r="13" spans="1:19" ht="30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</row>
    <row r="14" spans="1:19" ht="30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</row>
    <row r="15" spans="1:19" ht="30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</row>
    <row r="16" spans="1:19" ht="30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</row>
    <row r="17" spans="1:10" ht="30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ht="30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</row>
    <row r="19" spans="1:10" ht="30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</row>
    <row r="20" spans="1:10" ht="30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</row>
    <row r="21" spans="1:10" ht="30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</row>
    <row r="22" spans="1:10" ht="30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ht="30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ht="30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30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ht="30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ht="30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ht="30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ht="30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ht="30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ht="30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ht="30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ht="30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ht="30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ht="30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ht="30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ht="30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ht="30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ht="30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ht="30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ht="30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ht="30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ht="30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ht="30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30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30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30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30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30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30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30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30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30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ht="30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30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ht="30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</row>
    <row r="57" spans="1:10" ht="30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</row>
    <row r="58" spans="1:10" ht="30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</row>
    <row r="59" spans="1:10" ht="30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</row>
    <row r="60" spans="1:10" ht="30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</row>
    <row r="61" spans="1:10" ht="30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</row>
    <row r="62" spans="1:10" ht="30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</row>
    <row r="63" spans="1:10" ht="30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</row>
    <row r="64" spans="1:10" ht="30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</row>
    <row r="65" spans="1:10" ht="30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</row>
    <row r="66" spans="1:10" ht="30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 ht="30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 ht="30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 ht="30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 ht="30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 ht="30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 ht="30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 ht="30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 ht="30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 ht="30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 ht="30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 ht="30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 ht="30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 ht="30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 ht="30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 ht="30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 ht="30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 ht="30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 ht="30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 ht="30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 ht="30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 ht="30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 ht="30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 ht="30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 ht="30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 ht="30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 ht="30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 ht="30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 ht="30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 ht="30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 ht="30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 ht="30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 ht="30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 ht="30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 ht="30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 ht="30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 ht="30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 ht="30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 ht="30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 ht="30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 ht="30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 ht="30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 ht="30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 ht="30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 ht="30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 ht="30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 ht="30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 ht="30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 ht="30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 ht="30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 ht="30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 ht="30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 ht="30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 ht="30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 ht="30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 ht="30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 ht="30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 ht="30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 ht="30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  <row r="125" spans="1:10" ht="30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</row>
    <row r="126" spans="1:10" ht="30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</row>
    <row r="127" spans="1:10" ht="30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</row>
    <row r="128" spans="1:10" ht="30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</row>
    <row r="129" spans="1:10" ht="30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</row>
    <row r="130" spans="1:10" ht="30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</row>
    <row r="131" spans="1:10" ht="30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</row>
    <row r="132" spans="1:10" ht="30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</row>
    <row r="133" spans="1:10" ht="30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</row>
    <row r="134" spans="1:10" ht="30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</row>
    <row r="135" spans="1:10" ht="30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</row>
    <row r="136" spans="1:10" ht="30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</row>
    <row r="137" spans="1:10" ht="30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</row>
    <row r="138" spans="1:10" ht="30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</row>
    <row r="139" spans="1:10" ht="30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</row>
    <row r="140" spans="1:10" ht="30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</row>
    <row r="141" spans="1:10" ht="30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</row>
    <row r="142" spans="1:10" ht="30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</row>
    <row r="143" spans="1:10" ht="30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</row>
    <row r="144" spans="1:10" ht="30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</row>
    <row r="145" spans="1:10" ht="30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</row>
    <row r="146" spans="1:10" ht="30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</row>
    <row r="147" spans="1:10" ht="30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</row>
    <row r="148" spans="1:10" ht="30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</row>
    <row r="149" spans="1:10" ht="30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</row>
    <row r="150" spans="1:10" ht="30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</row>
    <row r="151" spans="1:10" ht="30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</row>
    <row r="152" spans="1:10" ht="30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</row>
    <row r="153" spans="1:10" ht="30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</row>
    <row r="154" spans="1:10" ht="30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</row>
    <row r="155" spans="1:10" ht="30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</row>
    <row r="156" spans="1:10" ht="30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</row>
    <row r="157" spans="1:10" ht="30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</row>
    <row r="158" spans="1:10" ht="30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</row>
    <row r="159" spans="1:10" ht="30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</row>
    <row r="160" spans="1:10" ht="30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</row>
    <row r="161" spans="1:10" ht="30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</row>
    <row r="162" spans="1:10" ht="30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</row>
    <row r="163" spans="1:10" ht="30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</row>
    <row r="164" spans="1:10" ht="30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</row>
    <row r="165" spans="1:10" ht="30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</row>
    <row r="166" spans="1:10" ht="30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</row>
    <row r="167" spans="1:10" ht="30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</row>
    <row r="168" spans="1:10" ht="30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</row>
    <row r="169" spans="1:10" ht="30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</row>
    <row r="170" spans="1:10" ht="30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</row>
    <row r="171" spans="1:10" ht="30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</row>
    <row r="172" spans="1:10" ht="30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</row>
    <row r="173" spans="1:10" ht="30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</row>
    <row r="174" spans="1:10" ht="30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</row>
    <row r="175" spans="1:10" ht="30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</row>
    <row r="176" spans="1:10" ht="30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</row>
    <row r="177" spans="1:10" ht="30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</row>
    <row r="178" spans="1:10" ht="30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</row>
    <row r="179" spans="1:10" ht="30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</row>
    <row r="180" spans="1:10" ht="30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</row>
    <row r="181" spans="1:10" ht="30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</row>
    <row r="182" spans="1:10" ht="30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</row>
    <row r="183" spans="1:10" ht="30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</row>
    <row r="184" spans="1:10" ht="30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</row>
    <row r="185" spans="1:10" ht="30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</row>
    <row r="186" spans="1:10" ht="30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</row>
    <row r="187" spans="1:10" ht="30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</row>
    <row r="188" spans="1:10" ht="30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</row>
    <row r="189" spans="1:10" ht="30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</row>
    <row r="190" spans="1:10" ht="30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</row>
    <row r="191" spans="1:10" ht="30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</row>
    <row r="192" spans="1:10" ht="30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</row>
    <row r="193" spans="1:10" ht="30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</row>
    <row r="194" spans="1:10" ht="30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</row>
    <row r="195" spans="1:10" ht="30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</row>
    <row r="196" spans="1:10" ht="30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</row>
    <row r="197" spans="1:10" ht="30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</row>
    <row r="198" spans="1:10" ht="30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</row>
    <row r="199" spans="1:10" ht="30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</row>
    <row r="200" spans="1:10" ht="30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</row>
    <row r="201" spans="1:10" ht="30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</row>
    <row r="202" spans="1:10" ht="30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</row>
    <row r="203" spans="1:10" ht="30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</row>
    <row r="204" spans="1:10" ht="30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</row>
    <row r="205" spans="1:10" ht="30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</row>
    <row r="206" spans="1:10" ht="30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</row>
    <row r="207" spans="1:10" ht="30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</row>
    <row r="208" spans="1:10" ht="30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</row>
    <row r="209" spans="1:10" ht="30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</row>
    <row r="210" spans="1:10" ht="30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</row>
    <row r="211" spans="1:10" ht="30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</row>
    <row r="212" spans="1:10" ht="30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</row>
    <row r="213" spans="1:10" ht="30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</row>
    <row r="214" spans="1:10" ht="30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</row>
    <row r="215" spans="1:10" ht="30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</row>
    <row r="216" spans="1:10" ht="30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</row>
    <row r="217" spans="1:10" ht="30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</row>
    <row r="218" spans="1:10" ht="30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</row>
    <row r="219" spans="1:10" ht="30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</row>
    <row r="220" spans="1:10" ht="30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</row>
    <row r="221" spans="1:10" ht="15.75" customHeight="1"/>
    <row r="222" spans="1:10" ht="15.75" customHeight="1"/>
    <row r="223" spans="1:10" ht="15.75" customHeight="1"/>
    <row r="224" spans="1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0:D10"/>
    <mergeCell ref="E10:F10"/>
    <mergeCell ref="A11:J11"/>
    <mergeCell ref="A1:I1"/>
    <mergeCell ref="K1:S1"/>
    <mergeCell ref="A8:A9"/>
    <mergeCell ref="B8:D8"/>
    <mergeCell ref="E8:F8"/>
    <mergeCell ref="G8:H9"/>
    <mergeCell ref="I8:S9"/>
    <mergeCell ref="B9:D9"/>
    <mergeCell ref="E9:F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J999"/>
  <sheetViews>
    <sheetView workbookViewId="0">
      <selection sqref="A1:G1"/>
    </sheetView>
  </sheetViews>
  <sheetFormatPr defaultColWidth="12.6640625" defaultRowHeight="15" customHeight="1"/>
  <cols>
    <col min="1" max="1" width="20.6640625" customWidth="1"/>
    <col min="2" max="2" width="27.33203125" customWidth="1"/>
    <col min="3" max="3" width="24.77734375" customWidth="1"/>
    <col min="4" max="4" width="21" customWidth="1"/>
    <col min="5" max="5" width="20.77734375" customWidth="1"/>
    <col min="6" max="6" width="28.33203125" customWidth="1"/>
    <col min="7" max="7" width="34.33203125" customWidth="1"/>
  </cols>
  <sheetData>
    <row r="1" spans="1:9" ht="37.799999999999997">
      <c r="A1" s="271" t="s">
        <v>29</v>
      </c>
      <c r="B1" s="232"/>
      <c r="C1" s="232"/>
      <c r="D1" s="232"/>
      <c r="E1" s="232"/>
      <c r="F1" s="232"/>
      <c r="G1" s="233"/>
      <c r="H1" s="25"/>
      <c r="I1" s="25"/>
    </row>
    <row r="2" spans="1:9" ht="61.2">
      <c r="A2" s="27" t="s">
        <v>339</v>
      </c>
      <c r="B2" s="27" t="s">
        <v>208</v>
      </c>
      <c r="C2" s="27" t="s">
        <v>210</v>
      </c>
      <c r="D2" s="27" t="s">
        <v>80</v>
      </c>
      <c r="E2" s="27" t="s">
        <v>81</v>
      </c>
      <c r="F2" s="27" t="s">
        <v>82</v>
      </c>
      <c r="G2" s="27" t="s">
        <v>211</v>
      </c>
      <c r="H2" s="32"/>
      <c r="I2" s="32"/>
    </row>
    <row r="3" spans="1:9" ht="68.400000000000006">
      <c r="A3" s="252">
        <v>1</v>
      </c>
      <c r="B3" s="81" t="s">
        <v>340</v>
      </c>
      <c r="C3" s="156" t="s">
        <v>341</v>
      </c>
      <c r="D3" s="255">
        <v>45717</v>
      </c>
      <c r="E3" s="252" t="s">
        <v>342</v>
      </c>
      <c r="F3" s="252" t="s">
        <v>343</v>
      </c>
      <c r="G3" s="99"/>
      <c r="H3" s="32"/>
    </row>
    <row r="4" spans="1:9" ht="45.6">
      <c r="A4" s="253"/>
      <c r="B4" s="86" t="s">
        <v>344</v>
      </c>
      <c r="C4" s="86" t="s">
        <v>345</v>
      </c>
      <c r="D4" s="253"/>
      <c r="E4" s="253"/>
      <c r="F4" s="253"/>
      <c r="G4" s="99"/>
      <c r="H4" s="32"/>
    </row>
    <row r="5" spans="1:9" ht="45.6">
      <c r="A5" s="253"/>
      <c r="B5" s="81" t="s">
        <v>346</v>
      </c>
      <c r="C5" s="156" t="s">
        <v>347</v>
      </c>
      <c r="D5" s="253"/>
      <c r="E5" s="253"/>
      <c r="F5" s="253"/>
      <c r="G5" s="99"/>
      <c r="H5" s="32"/>
    </row>
    <row r="6" spans="1:9" ht="68.400000000000006">
      <c r="A6" s="251"/>
      <c r="B6" s="130" t="s">
        <v>348</v>
      </c>
      <c r="C6" s="130" t="s">
        <v>349</v>
      </c>
      <c r="D6" s="251"/>
      <c r="E6" s="251"/>
      <c r="F6" s="251"/>
      <c r="G6" s="99"/>
      <c r="H6" s="32"/>
    </row>
    <row r="7" spans="1:9" ht="68.400000000000006">
      <c r="A7" s="252">
        <v>2</v>
      </c>
      <c r="B7" s="81" t="s">
        <v>340</v>
      </c>
      <c r="C7" s="157" t="s">
        <v>347</v>
      </c>
      <c r="D7" s="255">
        <v>45717</v>
      </c>
      <c r="E7" s="252" t="s">
        <v>350</v>
      </c>
      <c r="F7" s="252" t="s">
        <v>343</v>
      </c>
      <c r="G7" s="99"/>
      <c r="H7" s="32"/>
    </row>
    <row r="8" spans="1:9" ht="68.400000000000006">
      <c r="A8" s="253"/>
      <c r="B8" s="86" t="s">
        <v>344</v>
      </c>
      <c r="C8" s="86" t="s">
        <v>349</v>
      </c>
      <c r="D8" s="253"/>
      <c r="E8" s="253"/>
      <c r="F8" s="253"/>
      <c r="G8" s="99"/>
      <c r="H8" s="32"/>
    </row>
    <row r="9" spans="1:9" ht="45.6">
      <c r="A9" s="253"/>
      <c r="B9" s="157" t="s">
        <v>346</v>
      </c>
      <c r="C9" s="157" t="s">
        <v>341</v>
      </c>
      <c r="D9" s="253"/>
      <c r="E9" s="253"/>
      <c r="F9" s="253"/>
      <c r="G9" s="99"/>
      <c r="H9" s="32"/>
    </row>
    <row r="10" spans="1:9" ht="45.6">
      <c r="A10" s="251"/>
      <c r="B10" s="130" t="s">
        <v>348</v>
      </c>
      <c r="C10" s="86" t="s">
        <v>345</v>
      </c>
      <c r="D10" s="251"/>
      <c r="E10" s="251"/>
      <c r="F10" s="251"/>
      <c r="G10" s="99"/>
      <c r="H10" s="32"/>
    </row>
    <row r="11" spans="1:9" ht="68.400000000000006">
      <c r="A11" s="252">
        <v>3</v>
      </c>
      <c r="B11" s="81" t="s">
        <v>340</v>
      </c>
      <c r="C11" s="157" t="s">
        <v>344</v>
      </c>
      <c r="D11" s="255">
        <v>45718</v>
      </c>
      <c r="E11" s="252" t="s">
        <v>342</v>
      </c>
      <c r="F11" s="252" t="s">
        <v>343</v>
      </c>
      <c r="G11" s="99"/>
      <c r="H11" s="32"/>
    </row>
    <row r="12" spans="1:9" ht="45.6">
      <c r="A12" s="253"/>
      <c r="B12" s="86" t="s">
        <v>346</v>
      </c>
      <c r="C12" s="130" t="s">
        <v>348</v>
      </c>
      <c r="D12" s="253"/>
      <c r="E12" s="253"/>
      <c r="F12" s="253"/>
      <c r="G12" s="99"/>
      <c r="H12" s="32"/>
    </row>
    <row r="13" spans="1:9" ht="45.6">
      <c r="A13" s="253"/>
      <c r="B13" s="81" t="s">
        <v>345</v>
      </c>
      <c r="C13" s="157" t="s">
        <v>341</v>
      </c>
      <c r="D13" s="253"/>
      <c r="E13" s="253"/>
      <c r="F13" s="253"/>
      <c r="G13" s="99"/>
      <c r="H13" s="32"/>
    </row>
    <row r="14" spans="1:9" ht="45.6">
      <c r="A14" s="251"/>
      <c r="B14" s="86" t="s">
        <v>349</v>
      </c>
      <c r="C14" s="86" t="s">
        <v>347</v>
      </c>
      <c r="D14" s="251"/>
      <c r="E14" s="251"/>
      <c r="F14" s="251"/>
      <c r="G14" s="99"/>
      <c r="H14" s="32"/>
    </row>
    <row r="15" spans="1:9" ht="68.400000000000006">
      <c r="A15" s="252">
        <v>4</v>
      </c>
      <c r="B15" s="157" t="s">
        <v>340</v>
      </c>
      <c r="C15" s="81" t="s">
        <v>349</v>
      </c>
      <c r="D15" s="255">
        <v>45718</v>
      </c>
      <c r="E15" s="252" t="s">
        <v>350</v>
      </c>
      <c r="F15" s="252" t="s">
        <v>343</v>
      </c>
      <c r="G15" s="99"/>
      <c r="H15" s="32"/>
    </row>
    <row r="16" spans="1:9" ht="45.6">
      <c r="A16" s="253"/>
      <c r="B16" s="86" t="s">
        <v>344</v>
      </c>
      <c r="C16" s="86" t="s">
        <v>347</v>
      </c>
      <c r="D16" s="253"/>
      <c r="E16" s="253"/>
      <c r="F16" s="253"/>
      <c r="G16" s="99"/>
      <c r="H16" s="32"/>
    </row>
    <row r="17" spans="1:10" ht="45.6">
      <c r="A17" s="253"/>
      <c r="B17" s="81" t="s">
        <v>346</v>
      </c>
      <c r="C17" s="157" t="s">
        <v>345</v>
      </c>
      <c r="D17" s="253"/>
      <c r="E17" s="253"/>
      <c r="F17" s="253"/>
      <c r="G17" s="99"/>
      <c r="H17" s="32"/>
    </row>
    <row r="18" spans="1:10" ht="45.6">
      <c r="A18" s="251"/>
      <c r="B18" s="130" t="s">
        <v>348</v>
      </c>
      <c r="C18" s="86" t="s">
        <v>341</v>
      </c>
      <c r="D18" s="251"/>
      <c r="E18" s="251"/>
      <c r="F18" s="251"/>
      <c r="G18" s="99"/>
      <c r="H18" s="32"/>
    </row>
    <row r="19" spans="1:10" ht="68.400000000000006">
      <c r="A19" s="252">
        <v>5</v>
      </c>
      <c r="B19" s="157" t="s">
        <v>340</v>
      </c>
      <c r="C19" s="157" t="s">
        <v>346</v>
      </c>
      <c r="D19" s="255">
        <v>45724</v>
      </c>
      <c r="E19" s="252" t="s">
        <v>342</v>
      </c>
      <c r="F19" s="252" t="s">
        <v>343</v>
      </c>
      <c r="G19" s="99"/>
      <c r="H19" s="32"/>
    </row>
    <row r="20" spans="1:10" ht="45.6">
      <c r="A20" s="253"/>
      <c r="B20" s="86" t="s">
        <v>344</v>
      </c>
      <c r="C20" s="130" t="s">
        <v>348</v>
      </c>
      <c r="D20" s="253"/>
      <c r="E20" s="253"/>
      <c r="F20" s="253"/>
      <c r="G20" s="99"/>
      <c r="H20" s="32"/>
    </row>
    <row r="21" spans="1:10" ht="68.400000000000006">
      <c r="A21" s="253"/>
      <c r="B21" s="157" t="s">
        <v>345</v>
      </c>
      <c r="C21" s="81" t="s">
        <v>349</v>
      </c>
      <c r="D21" s="253"/>
      <c r="E21" s="253"/>
      <c r="F21" s="253"/>
      <c r="G21" s="99"/>
      <c r="H21" s="32"/>
    </row>
    <row r="22" spans="1:10" ht="45.6">
      <c r="A22" s="251"/>
      <c r="B22" s="86" t="s">
        <v>341</v>
      </c>
      <c r="C22" s="86" t="s">
        <v>347</v>
      </c>
      <c r="D22" s="251"/>
      <c r="E22" s="251"/>
      <c r="F22" s="251"/>
      <c r="G22" s="99"/>
      <c r="H22" s="32"/>
    </row>
    <row r="23" spans="1:10" ht="68.400000000000006">
      <c r="A23" s="252">
        <v>6</v>
      </c>
      <c r="B23" s="81" t="s">
        <v>340</v>
      </c>
      <c r="C23" s="156" t="s">
        <v>348</v>
      </c>
      <c r="D23" s="255">
        <v>45724</v>
      </c>
      <c r="E23" s="252" t="s">
        <v>350</v>
      </c>
      <c r="F23" s="252" t="s">
        <v>343</v>
      </c>
      <c r="G23" s="99"/>
      <c r="H23" s="32"/>
      <c r="J23" s="131"/>
    </row>
    <row r="24" spans="1:10" ht="45.6">
      <c r="A24" s="253"/>
      <c r="B24" s="86" t="s">
        <v>344</v>
      </c>
      <c r="C24" s="86" t="s">
        <v>346</v>
      </c>
      <c r="D24" s="253"/>
      <c r="E24" s="253"/>
      <c r="F24" s="253"/>
      <c r="G24" s="99"/>
      <c r="H24" s="32"/>
    </row>
    <row r="25" spans="1:10" ht="45.6">
      <c r="A25" s="253"/>
      <c r="B25" s="81" t="s">
        <v>345</v>
      </c>
      <c r="C25" s="157" t="s">
        <v>347</v>
      </c>
      <c r="D25" s="253"/>
      <c r="E25" s="253"/>
      <c r="F25" s="253"/>
      <c r="G25" s="99"/>
      <c r="H25" s="32"/>
    </row>
    <row r="26" spans="1:10" ht="68.400000000000006">
      <c r="A26" s="251"/>
      <c r="B26" s="86" t="s">
        <v>341</v>
      </c>
      <c r="C26" s="86" t="s">
        <v>349</v>
      </c>
      <c r="D26" s="251"/>
      <c r="E26" s="251"/>
      <c r="F26" s="251"/>
      <c r="G26" s="99"/>
      <c r="H26" s="32"/>
    </row>
    <row r="27" spans="1:10" ht="68.400000000000006">
      <c r="A27" s="252">
        <v>7</v>
      </c>
      <c r="B27" s="157" t="s">
        <v>340</v>
      </c>
      <c r="C27" s="81" t="s">
        <v>345</v>
      </c>
      <c r="D27" s="255">
        <v>45725</v>
      </c>
      <c r="E27" s="252" t="s">
        <v>342</v>
      </c>
      <c r="F27" s="252" t="s">
        <v>343</v>
      </c>
      <c r="G27" s="99"/>
      <c r="H27" s="32"/>
    </row>
    <row r="28" spans="1:10" ht="45.6">
      <c r="A28" s="253"/>
      <c r="B28" s="130" t="s">
        <v>341</v>
      </c>
      <c r="C28" s="86" t="s">
        <v>344</v>
      </c>
      <c r="D28" s="253"/>
      <c r="E28" s="253"/>
      <c r="F28" s="253"/>
      <c r="G28" s="99"/>
      <c r="H28" s="32"/>
    </row>
    <row r="29" spans="1:10" ht="45.6">
      <c r="A29" s="253"/>
      <c r="B29" s="156" t="s">
        <v>349</v>
      </c>
      <c r="C29" s="157" t="s">
        <v>346</v>
      </c>
      <c r="D29" s="253"/>
      <c r="E29" s="253"/>
      <c r="F29" s="253"/>
      <c r="G29" s="99"/>
      <c r="H29" s="32"/>
    </row>
    <row r="30" spans="1:10" ht="45.6">
      <c r="A30" s="251"/>
      <c r="B30" s="130" t="s">
        <v>347</v>
      </c>
      <c r="C30" s="130" t="s">
        <v>348</v>
      </c>
      <c r="D30" s="251"/>
      <c r="E30" s="251"/>
      <c r="F30" s="251"/>
      <c r="G30" s="158"/>
      <c r="H30" s="32"/>
    </row>
    <row r="31" spans="1:10" ht="22.8">
      <c r="A31" s="295"/>
      <c r="B31" s="232"/>
      <c r="C31" s="232"/>
      <c r="D31" s="232"/>
      <c r="E31" s="232"/>
      <c r="F31" s="232"/>
      <c r="G31" s="233"/>
      <c r="H31" s="32"/>
      <c r="I31" s="32"/>
    </row>
    <row r="32" spans="1:10" ht="22.8">
      <c r="A32" s="296" t="s">
        <v>351</v>
      </c>
      <c r="B32" s="230"/>
      <c r="C32" s="237"/>
      <c r="D32" s="255"/>
      <c r="E32" s="297"/>
      <c r="F32" s="252" t="s">
        <v>343</v>
      </c>
      <c r="G32" s="160"/>
      <c r="H32" s="32"/>
      <c r="I32" s="32"/>
    </row>
    <row r="33" spans="1:9" ht="22.8">
      <c r="A33" s="236"/>
      <c r="B33" s="230"/>
      <c r="C33" s="237"/>
      <c r="D33" s="253"/>
      <c r="E33" s="253"/>
      <c r="F33" s="253"/>
      <c r="G33" s="30"/>
      <c r="H33" s="32"/>
      <c r="I33" s="32"/>
    </row>
    <row r="34" spans="1:9" ht="22.8">
      <c r="A34" s="236"/>
      <c r="B34" s="230"/>
      <c r="C34" s="237"/>
      <c r="D34" s="253"/>
      <c r="E34" s="253"/>
      <c r="F34" s="253"/>
      <c r="G34" s="30"/>
      <c r="H34" s="32"/>
      <c r="I34" s="32"/>
    </row>
    <row r="35" spans="1:9" ht="33" customHeight="1">
      <c r="A35" s="238"/>
      <c r="B35" s="244"/>
      <c r="C35" s="239"/>
      <c r="D35" s="251"/>
      <c r="E35" s="251"/>
      <c r="F35" s="251"/>
      <c r="G35" s="30"/>
      <c r="H35" s="32"/>
      <c r="I35" s="32"/>
    </row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4">
    <mergeCell ref="A31:G31"/>
    <mergeCell ref="A32:C35"/>
    <mergeCell ref="D32:D35"/>
    <mergeCell ref="E32:E35"/>
    <mergeCell ref="F32:F35"/>
    <mergeCell ref="A7:A10"/>
    <mergeCell ref="A11:A14"/>
    <mergeCell ref="A19:A22"/>
    <mergeCell ref="A23:A26"/>
    <mergeCell ref="A27:A30"/>
    <mergeCell ref="A15:A18"/>
    <mergeCell ref="A1:G1"/>
    <mergeCell ref="A3:A6"/>
    <mergeCell ref="D3:D6"/>
    <mergeCell ref="E3:E6"/>
    <mergeCell ref="F3:F6"/>
    <mergeCell ref="D27:D30"/>
    <mergeCell ref="E27:E30"/>
    <mergeCell ref="F27:F30"/>
    <mergeCell ref="E11:E14"/>
    <mergeCell ref="F11:F14"/>
    <mergeCell ref="D15:D18"/>
    <mergeCell ref="E15:E18"/>
    <mergeCell ref="F15:F18"/>
    <mergeCell ref="D19:D22"/>
    <mergeCell ref="E19:E22"/>
    <mergeCell ref="F19:F22"/>
    <mergeCell ref="E7:E10"/>
    <mergeCell ref="F7:F10"/>
    <mergeCell ref="D7:D10"/>
    <mergeCell ref="D11:D14"/>
    <mergeCell ref="D23:D26"/>
    <mergeCell ref="E23:E26"/>
    <mergeCell ref="F23:F2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25" customWidth="1"/>
    <col min="2" max="2" width="15" customWidth="1"/>
    <col min="3" max="3" width="14.44140625" customWidth="1"/>
    <col min="4" max="5" width="14.33203125" customWidth="1"/>
    <col min="6" max="6" width="11.21875" customWidth="1"/>
    <col min="7" max="7" width="13.77734375" customWidth="1"/>
    <col min="8" max="8" width="14.21875" customWidth="1"/>
    <col min="9" max="9" width="17.88671875" customWidth="1"/>
  </cols>
  <sheetData>
    <row r="1" spans="1:9" ht="63.75" customHeight="1">
      <c r="A1" s="30" t="s">
        <v>239</v>
      </c>
      <c r="B1" s="30" t="s">
        <v>352</v>
      </c>
      <c r="C1" s="30" t="s">
        <v>353</v>
      </c>
      <c r="D1" s="30" t="s">
        <v>354</v>
      </c>
      <c r="E1" s="30" t="s">
        <v>355</v>
      </c>
      <c r="F1" s="30" t="s">
        <v>242</v>
      </c>
      <c r="G1" s="30" t="s">
        <v>356</v>
      </c>
      <c r="H1" s="30" t="s">
        <v>357</v>
      </c>
      <c r="I1" s="30" t="s">
        <v>358</v>
      </c>
    </row>
    <row r="2" spans="1:9" ht="35.25" customHeight="1">
      <c r="A2" s="161" t="s">
        <v>347</v>
      </c>
      <c r="B2" s="161">
        <v>4</v>
      </c>
      <c r="C2" s="161">
        <v>6</v>
      </c>
      <c r="D2" s="161">
        <v>1</v>
      </c>
      <c r="E2" s="161">
        <v>0</v>
      </c>
      <c r="F2" s="161">
        <f>(C2*2+D2)</f>
        <v>13</v>
      </c>
      <c r="G2" s="161">
        <v>22</v>
      </c>
      <c r="H2" s="161"/>
      <c r="I2" s="161"/>
    </row>
    <row r="3" spans="1:9" ht="36.75" customHeight="1">
      <c r="A3" s="38" t="s">
        <v>346</v>
      </c>
      <c r="B3" s="161">
        <v>4</v>
      </c>
      <c r="C3" s="38">
        <v>5</v>
      </c>
      <c r="D3" s="38">
        <v>1</v>
      </c>
      <c r="E3" s="38">
        <v>1</v>
      </c>
      <c r="F3" s="38">
        <v>11</v>
      </c>
      <c r="G3" s="38">
        <v>18</v>
      </c>
      <c r="H3" s="38"/>
      <c r="I3" s="38"/>
    </row>
    <row r="4" spans="1:9" ht="34.5" customHeight="1">
      <c r="A4" s="161" t="s">
        <v>344</v>
      </c>
      <c r="B4" s="161">
        <v>4</v>
      </c>
      <c r="C4" s="161">
        <v>5</v>
      </c>
      <c r="D4" s="161">
        <v>0</v>
      </c>
      <c r="E4" s="161">
        <v>2</v>
      </c>
      <c r="F4" s="161">
        <f t="shared" ref="F4:F9" si="0">(C4*2+D4)</f>
        <v>10</v>
      </c>
      <c r="G4" s="161">
        <v>19</v>
      </c>
      <c r="H4" s="161"/>
      <c r="I4" s="161"/>
    </row>
    <row r="5" spans="1:9" ht="35.25" customHeight="1">
      <c r="A5" s="161" t="s">
        <v>341</v>
      </c>
      <c r="B5" s="161">
        <v>4</v>
      </c>
      <c r="C5" s="161">
        <v>3</v>
      </c>
      <c r="D5" s="161">
        <v>2</v>
      </c>
      <c r="E5" s="161">
        <v>2</v>
      </c>
      <c r="F5" s="161">
        <f t="shared" si="0"/>
        <v>8</v>
      </c>
      <c r="G5" s="161">
        <v>15.5</v>
      </c>
      <c r="H5" s="161"/>
      <c r="I5" s="161"/>
    </row>
    <row r="6" spans="1:9" ht="35.25" customHeight="1">
      <c r="A6" s="161" t="s">
        <v>359</v>
      </c>
      <c r="B6" s="161">
        <v>4</v>
      </c>
      <c r="C6" s="161">
        <v>3</v>
      </c>
      <c r="D6" s="161">
        <v>1</v>
      </c>
      <c r="E6" s="161">
        <v>3</v>
      </c>
      <c r="F6" s="161">
        <f t="shared" si="0"/>
        <v>7</v>
      </c>
      <c r="G6" s="161">
        <v>14.5</v>
      </c>
      <c r="H6" s="161"/>
      <c r="I6" s="161"/>
    </row>
    <row r="7" spans="1:9" ht="36" customHeight="1">
      <c r="A7" s="38" t="s">
        <v>340</v>
      </c>
      <c r="B7" s="161">
        <v>4</v>
      </c>
      <c r="C7" s="38">
        <v>2</v>
      </c>
      <c r="D7" s="38">
        <v>1</v>
      </c>
      <c r="E7" s="38">
        <v>4</v>
      </c>
      <c r="F7" s="38">
        <f t="shared" si="0"/>
        <v>5</v>
      </c>
      <c r="G7" s="38">
        <v>13.5</v>
      </c>
      <c r="H7" s="38"/>
      <c r="I7" s="38"/>
    </row>
    <row r="8" spans="1:9" ht="36" customHeight="1">
      <c r="A8" s="38" t="s">
        <v>349</v>
      </c>
      <c r="B8" s="161">
        <v>4</v>
      </c>
      <c r="C8" s="38">
        <v>1</v>
      </c>
      <c r="D8" s="38">
        <v>0</v>
      </c>
      <c r="E8" s="38">
        <v>6</v>
      </c>
      <c r="F8" s="38">
        <f t="shared" si="0"/>
        <v>2</v>
      </c>
      <c r="G8" s="38">
        <v>7.5</v>
      </c>
      <c r="H8" s="38"/>
      <c r="I8" s="38"/>
    </row>
    <row r="9" spans="1:9" ht="35.25" customHeight="1">
      <c r="A9" s="38" t="s">
        <v>360</v>
      </c>
      <c r="B9" s="161">
        <v>4</v>
      </c>
      <c r="C9" s="38">
        <v>0</v>
      </c>
      <c r="D9" s="38">
        <v>0</v>
      </c>
      <c r="E9" s="38">
        <v>7</v>
      </c>
      <c r="F9" s="38">
        <f t="shared" si="0"/>
        <v>0</v>
      </c>
      <c r="G9" s="38">
        <v>2</v>
      </c>
      <c r="H9" s="38"/>
      <c r="I9" s="38"/>
    </row>
    <row r="10" spans="1:9" ht="30" customHeight="1">
      <c r="A10" s="298"/>
      <c r="B10" s="230"/>
      <c r="C10" s="230"/>
      <c r="D10" s="230"/>
      <c r="E10" s="230"/>
      <c r="F10" s="230"/>
      <c r="G10" s="230"/>
      <c r="H10" s="230"/>
      <c r="I10" s="230"/>
    </row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I10"/>
  </mergeCells>
  <conditionalFormatting sqref="B2:I9">
    <cfRule type="notContainsBlanks" dxfId="0" priority="1">
      <formula>LEN(TRIM(B2))&gt;0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N1000"/>
  <sheetViews>
    <sheetView workbookViewId="0">
      <selection activeCell="J1" sqref="J1:J22"/>
    </sheetView>
  </sheetViews>
  <sheetFormatPr defaultColWidth="12.6640625" defaultRowHeight="15" customHeight="1"/>
  <cols>
    <col min="1" max="1" width="11.21875" customWidth="1"/>
    <col min="2" max="2" width="15.33203125" customWidth="1"/>
    <col min="3" max="3" width="27.109375" customWidth="1"/>
    <col min="4" max="4" width="4.77734375" customWidth="1"/>
    <col min="5" max="5" width="25.6640625" customWidth="1"/>
    <col min="6" max="6" width="21" customWidth="1"/>
    <col min="7" max="7" width="20.77734375" customWidth="1"/>
    <col min="8" max="8" width="28.33203125" customWidth="1"/>
    <col min="9" max="9" width="34.33203125" customWidth="1"/>
  </cols>
  <sheetData>
    <row r="1" spans="1:14" ht="13.2">
      <c r="A1" s="281" t="s">
        <v>30</v>
      </c>
      <c r="B1" s="232"/>
      <c r="C1" s="232"/>
      <c r="D1" s="232"/>
      <c r="E1" s="232"/>
      <c r="F1" s="232"/>
      <c r="G1" s="232"/>
      <c r="H1" s="232"/>
      <c r="I1" s="233"/>
      <c r="J1" s="256"/>
    </row>
    <row r="2" spans="1:14" ht="61.2">
      <c r="A2" s="30"/>
      <c r="B2" s="27" t="s">
        <v>207</v>
      </c>
      <c r="C2" s="28" t="s">
        <v>208</v>
      </c>
      <c r="D2" s="79" t="s">
        <v>209</v>
      </c>
      <c r="E2" s="80" t="s">
        <v>210</v>
      </c>
      <c r="F2" s="27" t="s">
        <v>80</v>
      </c>
      <c r="G2" s="27" t="s">
        <v>81</v>
      </c>
      <c r="H2" s="27" t="s">
        <v>82</v>
      </c>
      <c r="I2" s="27" t="s">
        <v>361</v>
      </c>
      <c r="J2" s="230"/>
    </row>
    <row r="3" spans="1:14" ht="50.4">
      <c r="A3" s="252" t="s">
        <v>212</v>
      </c>
      <c r="B3" s="81">
        <v>1</v>
      </c>
      <c r="C3" s="82" t="s">
        <v>15</v>
      </c>
      <c r="D3" s="83" t="s">
        <v>213</v>
      </c>
      <c r="E3" s="81" t="s">
        <v>13</v>
      </c>
      <c r="F3" s="84">
        <v>45716</v>
      </c>
      <c r="G3" s="81" t="s">
        <v>362</v>
      </c>
      <c r="H3" s="81" t="s">
        <v>86</v>
      </c>
      <c r="I3" s="93" t="s">
        <v>590</v>
      </c>
      <c r="J3" s="230"/>
      <c r="L3" s="98"/>
      <c r="M3" s="98"/>
      <c r="N3" s="98"/>
    </row>
    <row r="4" spans="1:14" ht="25.2">
      <c r="A4" s="253"/>
      <c r="B4" s="81">
        <v>2</v>
      </c>
      <c r="C4" s="82" t="s">
        <v>13</v>
      </c>
      <c r="D4" s="81" t="s">
        <v>213</v>
      </c>
      <c r="E4" s="81" t="s">
        <v>255</v>
      </c>
      <c r="F4" s="84">
        <v>45717</v>
      </c>
      <c r="G4" s="81" t="s">
        <v>363</v>
      </c>
      <c r="H4" s="81" t="s">
        <v>86</v>
      </c>
      <c r="I4" s="93" t="s">
        <v>591</v>
      </c>
      <c r="J4" s="230"/>
    </row>
    <row r="5" spans="1:14" ht="25.2">
      <c r="A5" s="253"/>
      <c r="B5" s="81">
        <v>3</v>
      </c>
      <c r="C5" s="81" t="s">
        <v>15</v>
      </c>
      <c r="D5" s="81" t="s">
        <v>213</v>
      </c>
      <c r="E5" s="82" t="s">
        <v>278</v>
      </c>
      <c r="F5" s="84">
        <v>45717</v>
      </c>
      <c r="G5" s="81" t="s">
        <v>364</v>
      </c>
      <c r="H5" s="81" t="s">
        <v>86</v>
      </c>
      <c r="I5" s="93" t="s">
        <v>365</v>
      </c>
      <c r="J5" s="230"/>
    </row>
    <row r="6" spans="1:14" ht="50.4">
      <c r="A6" s="253"/>
      <c r="B6" s="86">
        <v>4</v>
      </c>
      <c r="C6" s="86" t="s">
        <v>1</v>
      </c>
      <c r="D6" s="86" t="s">
        <v>213</v>
      </c>
      <c r="E6" s="82" t="s">
        <v>366</v>
      </c>
      <c r="F6" s="87">
        <v>45717</v>
      </c>
      <c r="G6" s="86" t="s">
        <v>367</v>
      </c>
      <c r="H6" s="86" t="s">
        <v>86</v>
      </c>
      <c r="I6" s="95" t="s">
        <v>368</v>
      </c>
      <c r="J6" s="230"/>
    </row>
    <row r="7" spans="1:14" ht="50.4">
      <c r="A7" s="253"/>
      <c r="B7" s="86">
        <v>5</v>
      </c>
      <c r="C7" s="86" t="s">
        <v>275</v>
      </c>
      <c r="D7" s="86" t="s">
        <v>213</v>
      </c>
      <c r="E7" s="82" t="s">
        <v>366</v>
      </c>
      <c r="F7" s="87">
        <v>45718</v>
      </c>
      <c r="G7" s="86" t="s">
        <v>363</v>
      </c>
      <c r="H7" s="86" t="s">
        <v>86</v>
      </c>
      <c r="I7" s="95" t="s">
        <v>369</v>
      </c>
      <c r="J7" s="230"/>
    </row>
    <row r="8" spans="1:14" ht="50.4">
      <c r="A8" s="253"/>
      <c r="B8" s="81">
        <v>6</v>
      </c>
      <c r="C8" s="82" t="s">
        <v>278</v>
      </c>
      <c r="D8" s="81" t="s">
        <v>213</v>
      </c>
      <c r="E8" s="81" t="s">
        <v>255</v>
      </c>
      <c r="F8" s="84">
        <v>45718</v>
      </c>
      <c r="G8" s="81" t="s">
        <v>364</v>
      </c>
      <c r="H8" s="81" t="s">
        <v>86</v>
      </c>
      <c r="I8" s="93" t="s">
        <v>370</v>
      </c>
      <c r="J8" s="230"/>
    </row>
    <row r="9" spans="1:14" ht="50.4">
      <c r="A9" s="253"/>
      <c r="B9" s="86">
        <v>7</v>
      </c>
      <c r="C9" s="82" t="s">
        <v>9</v>
      </c>
      <c r="D9" s="86" t="s">
        <v>213</v>
      </c>
      <c r="E9" s="86" t="s">
        <v>1</v>
      </c>
      <c r="F9" s="87">
        <v>45718</v>
      </c>
      <c r="G9" s="86" t="s">
        <v>367</v>
      </c>
      <c r="H9" s="86" t="s">
        <v>86</v>
      </c>
      <c r="I9" s="95" t="s">
        <v>371</v>
      </c>
      <c r="J9" s="230"/>
      <c r="L9" s="131" t="s">
        <v>372</v>
      </c>
      <c r="M9" s="131" t="s">
        <v>373</v>
      </c>
    </row>
    <row r="10" spans="1:14" ht="50.4">
      <c r="A10" s="253"/>
      <c r="B10" s="86">
        <v>8</v>
      </c>
      <c r="C10" s="82" t="s">
        <v>275</v>
      </c>
      <c r="D10" s="86" t="s">
        <v>213</v>
      </c>
      <c r="E10" s="86" t="s">
        <v>9</v>
      </c>
      <c r="F10" s="87">
        <v>45719</v>
      </c>
      <c r="G10" s="86" t="s">
        <v>374</v>
      </c>
      <c r="H10" s="86" t="s">
        <v>86</v>
      </c>
      <c r="I10" s="95" t="s">
        <v>375</v>
      </c>
      <c r="J10" s="230"/>
      <c r="L10" s="131" t="s">
        <v>376</v>
      </c>
      <c r="M10" s="131" t="s">
        <v>377</v>
      </c>
    </row>
    <row r="11" spans="1:14" ht="50.4">
      <c r="A11" s="253"/>
      <c r="B11" s="81">
        <v>9</v>
      </c>
      <c r="C11" s="81" t="s">
        <v>13</v>
      </c>
      <c r="D11" s="81" t="s">
        <v>213</v>
      </c>
      <c r="E11" s="82" t="s">
        <v>278</v>
      </c>
      <c r="F11" s="84">
        <v>45720</v>
      </c>
      <c r="G11" s="81" t="s">
        <v>374</v>
      </c>
      <c r="H11" s="81" t="s">
        <v>86</v>
      </c>
      <c r="I11" s="93" t="s">
        <v>378</v>
      </c>
      <c r="J11" s="230"/>
    </row>
    <row r="12" spans="1:14" ht="25.2">
      <c r="A12" s="253"/>
      <c r="B12" s="86">
        <v>10</v>
      </c>
      <c r="C12" s="86" t="s">
        <v>275</v>
      </c>
      <c r="D12" s="86" t="s">
        <v>213</v>
      </c>
      <c r="E12" s="82" t="s">
        <v>1</v>
      </c>
      <c r="F12" s="87">
        <v>45721</v>
      </c>
      <c r="G12" s="86" t="s">
        <v>374</v>
      </c>
      <c r="H12" s="86" t="s">
        <v>86</v>
      </c>
      <c r="I12" s="95"/>
      <c r="J12" s="230"/>
    </row>
    <row r="13" spans="1:14" ht="25.2">
      <c r="A13" s="253"/>
      <c r="B13" s="81">
        <v>11</v>
      </c>
      <c r="C13" s="81" t="s">
        <v>255</v>
      </c>
      <c r="D13" s="81" t="s">
        <v>213</v>
      </c>
      <c r="E13" s="81" t="s">
        <v>15</v>
      </c>
      <c r="F13" s="84">
        <v>45721</v>
      </c>
      <c r="G13" s="81" t="s">
        <v>367</v>
      </c>
      <c r="H13" s="81" t="s">
        <v>86</v>
      </c>
      <c r="I13" s="93"/>
      <c r="J13" s="230"/>
    </row>
    <row r="14" spans="1:14" ht="25.2">
      <c r="A14" s="251"/>
      <c r="B14" s="86">
        <v>12</v>
      </c>
      <c r="C14" s="86" t="s">
        <v>9</v>
      </c>
      <c r="D14" s="86" t="s">
        <v>213</v>
      </c>
      <c r="E14" s="82" t="s">
        <v>366</v>
      </c>
      <c r="F14" s="87">
        <v>45722</v>
      </c>
      <c r="G14" s="86" t="s">
        <v>374</v>
      </c>
      <c r="H14" s="86" t="s">
        <v>86</v>
      </c>
      <c r="I14" s="95"/>
      <c r="J14" s="230"/>
    </row>
    <row r="15" spans="1:14" ht="22.8">
      <c r="A15" s="299"/>
      <c r="B15" s="232"/>
      <c r="C15" s="232"/>
      <c r="D15" s="232"/>
      <c r="E15" s="232"/>
      <c r="F15" s="232"/>
      <c r="G15" s="232"/>
      <c r="H15" s="232"/>
      <c r="I15" s="233"/>
      <c r="J15" s="230"/>
    </row>
    <row r="16" spans="1:14" ht="45.6">
      <c r="A16" s="252" t="s">
        <v>227</v>
      </c>
      <c r="B16" s="30" t="s">
        <v>379</v>
      </c>
      <c r="C16" s="98" t="s">
        <v>380</v>
      </c>
      <c r="D16" s="30" t="s">
        <v>213</v>
      </c>
      <c r="E16" s="30" t="s">
        <v>381</v>
      </c>
      <c r="F16" s="31">
        <v>45722</v>
      </c>
      <c r="G16" s="98" t="s">
        <v>374</v>
      </c>
      <c r="H16" s="30" t="s">
        <v>86</v>
      </c>
      <c r="I16" s="99"/>
      <c r="J16" s="230"/>
    </row>
    <row r="17" spans="1:10" ht="68.400000000000006">
      <c r="A17" s="251"/>
      <c r="B17" s="30" t="s">
        <v>382</v>
      </c>
      <c r="C17" s="30" t="s">
        <v>383</v>
      </c>
      <c r="D17" s="30" t="s">
        <v>213</v>
      </c>
      <c r="E17" s="98" t="s">
        <v>384</v>
      </c>
      <c r="F17" s="31">
        <v>45723</v>
      </c>
      <c r="G17" s="98" t="s">
        <v>374</v>
      </c>
      <c r="H17" s="30" t="s">
        <v>86</v>
      </c>
      <c r="I17" s="99"/>
      <c r="J17" s="230"/>
    </row>
    <row r="18" spans="1:10" ht="22.8">
      <c r="A18" s="299"/>
      <c r="B18" s="232"/>
      <c r="C18" s="232"/>
      <c r="D18" s="232"/>
      <c r="E18" s="232"/>
      <c r="F18" s="232"/>
      <c r="G18" s="232"/>
      <c r="H18" s="232"/>
      <c r="I18" s="233"/>
      <c r="J18" s="230"/>
    </row>
    <row r="19" spans="1:10" ht="45.6">
      <c r="A19" s="30" t="s">
        <v>232</v>
      </c>
      <c r="B19" s="30">
        <v>15</v>
      </c>
      <c r="C19" s="82" t="s">
        <v>385</v>
      </c>
      <c r="D19" s="30" t="s">
        <v>213</v>
      </c>
      <c r="E19" s="98" t="s">
        <v>386</v>
      </c>
      <c r="F19" s="31">
        <v>45724</v>
      </c>
      <c r="G19" s="30" t="s">
        <v>387</v>
      </c>
      <c r="H19" s="30" t="s">
        <v>86</v>
      </c>
      <c r="I19" s="99"/>
      <c r="J19" s="230"/>
    </row>
    <row r="20" spans="1:10" ht="22.8">
      <c r="A20" s="299"/>
      <c r="B20" s="232"/>
      <c r="C20" s="232"/>
      <c r="D20" s="232"/>
      <c r="E20" s="232"/>
      <c r="F20" s="232"/>
      <c r="G20" s="232"/>
      <c r="H20" s="232"/>
      <c r="I20" s="233"/>
      <c r="J20" s="230"/>
    </row>
    <row r="21" spans="1:10" ht="25.2">
      <c r="A21" s="30" t="s">
        <v>235</v>
      </c>
      <c r="B21" s="30">
        <v>16</v>
      </c>
      <c r="C21" s="82" t="s">
        <v>388</v>
      </c>
      <c r="D21" s="30" t="s">
        <v>213</v>
      </c>
      <c r="E21" s="98" t="s">
        <v>389</v>
      </c>
      <c r="F21" s="31">
        <v>45724</v>
      </c>
      <c r="G21" s="30" t="s">
        <v>390</v>
      </c>
      <c r="H21" s="30" t="s">
        <v>86</v>
      </c>
      <c r="I21" s="99"/>
      <c r="J21" s="230"/>
    </row>
    <row r="22" spans="1:10" ht="15.75" customHeight="1">
      <c r="A22" s="256"/>
      <c r="B22" s="230"/>
      <c r="C22" s="230"/>
      <c r="D22" s="230"/>
      <c r="E22" s="230"/>
      <c r="F22" s="230"/>
      <c r="G22" s="230"/>
      <c r="H22" s="230"/>
      <c r="I22" s="230"/>
      <c r="J22" s="230"/>
    </row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J1:J22"/>
    <mergeCell ref="A3:A14"/>
    <mergeCell ref="A15:I15"/>
    <mergeCell ref="A16:A17"/>
    <mergeCell ref="A18:I18"/>
    <mergeCell ref="A20:I20"/>
    <mergeCell ref="A22:I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O1000"/>
  <sheetViews>
    <sheetView workbookViewId="0">
      <selection sqref="A1:G1"/>
    </sheetView>
  </sheetViews>
  <sheetFormatPr defaultColWidth="12.6640625" defaultRowHeight="15" customHeight="1"/>
  <cols>
    <col min="1" max="1" width="20.21875" customWidth="1"/>
    <col min="2" max="2" width="7.88671875" customWidth="1"/>
    <col min="3" max="3" width="8" customWidth="1"/>
    <col min="4" max="4" width="7.109375" customWidth="1"/>
    <col min="5" max="5" width="7.77734375" customWidth="1"/>
    <col min="6" max="6" width="8.77734375" customWidth="1"/>
    <col min="7" max="7" width="9.6640625" customWidth="1"/>
    <col min="8" max="8" width="0.33203125" customWidth="1"/>
    <col min="9" max="9" width="20" customWidth="1"/>
    <col min="10" max="11" width="7.88671875" customWidth="1"/>
    <col min="12" max="12" width="7.21875" customWidth="1"/>
    <col min="13" max="13" width="7.109375" customWidth="1"/>
    <col min="14" max="14" width="8.88671875" customWidth="1"/>
    <col min="15" max="15" width="9.77734375" customWidth="1"/>
  </cols>
  <sheetData>
    <row r="1" spans="1:15" ht="40.5" customHeight="1">
      <c r="A1" s="275" t="s">
        <v>51</v>
      </c>
      <c r="B1" s="232"/>
      <c r="C1" s="232"/>
      <c r="D1" s="232"/>
      <c r="E1" s="232"/>
      <c r="F1" s="232"/>
      <c r="G1" s="233"/>
      <c r="H1" s="62"/>
      <c r="I1" s="276" t="s">
        <v>52</v>
      </c>
      <c r="J1" s="232"/>
      <c r="K1" s="232"/>
      <c r="L1" s="232"/>
      <c r="M1" s="232"/>
      <c r="N1" s="232"/>
      <c r="O1" s="233"/>
    </row>
    <row r="2" spans="1:15" ht="63.75" customHeight="1">
      <c r="A2" s="30" t="s">
        <v>239</v>
      </c>
      <c r="B2" s="30" t="s">
        <v>240</v>
      </c>
      <c r="C2" s="30" t="s">
        <v>241</v>
      </c>
      <c r="D2" s="30" t="s">
        <v>313</v>
      </c>
      <c r="E2" s="30" t="s">
        <v>141</v>
      </c>
      <c r="F2" s="30" t="s">
        <v>314</v>
      </c>
      <c r="G2" s="100" t="s">
        <v>391</v>
      </c>
      <c r="H2" s="105"/>
      <c r="I2" s="30" t="s">
        <v>239</v>
      </c>
      <c r="J2" s="30" t="s">
        <v>240</v>
      </c>
      <c r="K2" s="30" t="s">
        <v>241</v>
      </c>
      <c r="L2" s="30" t="s">
        <v>313</v>
      </c>
      <c r="M2" s="30" t="s">
        <v>141</v>
      </c>
      <c r="N2" s="30" t="s">
        <v>314</v>
      </c>
      <c r="O2" s="30" t="s">
        <v>391</v>
      </c>
    </row>
    <row r="3" spans="1:15" ht="36" customHeight="1">
      <c r="A3" s="17" t="s">
        <v>3</v>
      </c>
      <c r="B3" s="162">
        <v>3</v>
      </c>
      <c r="C3" s="162">
        <v>3</v>
      </c>
      <c r="D3" s="161">
        <v>0</v>
      </c>
      <c r="E3" s="162">
        <v>0</v>
      </c>
      <c r="F3" s="162">
        <v>6</v>
      </c>
      <c r="G3" s="163">
        <v>2.1379999999999999</v>
      </c>
      <c r="H3" s="105"/>
      <c r="I3" s="15" t="s">
        <v>11</v>
      </c>
      <c r="J3" s="162">
        <v>3</v>
      </c>
      <c r="K3" s="162">
        <v>3</v>
      </c>
      <c r="L3" s="161">
        <v>0</v>
      </c>
      <c r="M3" s="162">
        <v>0</v>
      </c>
      <c r="N3" s="162">
        <v>6</v>
      </c>
      <c r="O3" s="162">
        <v>2.0110000000000001</v>
      </c>
    </row>
    <row r="4" spans="1:15" ht="36" customHeight="1">
      <c r="A4" s="15" t="s">
        <v>9</v>
      </c>
      <c r="B4" s="161">
        <v>3</v>
      </c>
      <c r="C4" s="161">
        <v>1</v>
      </c>
      <c r="D4" s="161">
        <v>0</v>
      </c>
      <c r="E4" s="161">
        <v>2</v>
      </c>
      <c r="F4" s="161">
        <v>2</v>
      </c>
      <c r="G4" s="163">
        <v>-0.32400000000000001</v>
      </c>
      <c r="H4" s="105"/>
      <c r="I4" s="78" t="s">
        <v>15</v>
      </c>
      <c r="J4" s="162">
        <v>2</v>
      </c>
      <c r="K4" s="162">
        <v>1</v>
      </c>
      <c r="L4" s="161">
        <v>0</v>
      </c>
      <c r="M4" s="162">
        <v>1</v>
      </c>
      <c r="N4" s="162">
        <v>2</v>
      </c>
      <c r="O4" s="162">
        <v>0.34100000000000003</v>
      </c>
    </row>
    <row r="5" spans="1:15" ht="34.5" customHeight="1">
      <c r="A5" s="15" t="s">
        <v>7</v>
      </c>
      <c r="B5" s="24">
        <v>3</v>
      </c>
      <c r="C5" s="38">
        <v>1</v>
      </c>
      <c r="D5" s="38">
        <v>0</v>
      </c>
      <c r="E5" s="24">
        <v>2</v>
      </c>
      <c r="F5" s="38">
        <v>2</v>
      </c>
      <c r="G5" s="164">
        <v>-0.52200000000000002</v>
      </c>
      <c r="H5" s="105"/>
      <c r="I5" s="15" t="s">
        <v>13</v>
      </c>
      <c r="J5" s="24">
        <v>3</v>
      </c>
      <c r="K5" s="24">
        <v>1</v>
      </c>
      <c r="L5" s="38">
        <v>0</v>
      </c>
      <c r="M5" s="38">
        <v>2</v>
      </c>
      <c r="N5" s="24">
        <v>2</v>
      </c>
      <c r="O5" s="24">
        <v>-1.5149999999999999</v>
      </c>
    </row>
    <row r="6" spans="1:15" ht="37.5" customHeight="1">
      <c r="A6" s="15" t="s">
        <v>1</v>
      </c>
      <c r="B6" s="38">
        <v>3</v>
      </c>
      <c r="C6" s="38">
        <v>1</v>
      </c>
      <c r="D6" s="38">
        <v>0</v>
      </c>
      <c r="E6" s="38">
        <v>2</v>
      </c>
      <c r="F6" s="38">
        <v>2</v>
      </c>
      <c r="G6" s="164">
        <v>-1.333</v>
      </c>
      <c r="H6" s="165"/>
      <c r="I6" s="17" t="s">
        <v>5</v>
      </c>
      <c r="J6" s="24">
        <v>2</v>
      </c>
      <c r="K6" s="24">
        <v>0</v>
      </c>
      <c r="L6" s="38">
        <v>0</v>
      </c>
      <c r="M6" s="38">
        <v>2</v>
      </c>
      <c r="N6" s="24">
        <v>0</v>
      </c>
      <c r="O6" s="24">
        <v>-1.0109999999999999</v>
      </c>
    </row>
    <row r="7" spans="1:15" ht="30" customHeight="1">
      <c r="A7" s="265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</row>
    <row r="8" spans="1:15" ht="30" customHeight="1">
      <c r="A8" s="273" t="s">
        <v>246</v>
      </c>
      <c r="B8" s="278" t="s">
        <v>247</v>
      </c>
      <c r="C8" s="279"/>
      <c r="D8" s="280"/>
      <c r="E8" s="278" t="s">
        <v>248</v>
      </c>
      <c r="F8" s="279"/>
      <c r="G8" s="166"/>
      <c r="H8" s="265"/>
      <c r="I8" s="230"/>
      <c r="J8" s="230"/>
      <c r="K8" s="230"/>
      <c r="L8" s="230"/>
      <c r="M8" s="230"/>
      <c r="N8" s="230"/>
      <c r="O8" s="230"/>
    </row>
    <row r="9" spans="1:15" ht="30" customHeight="1">
      <c r="A9" s="274"/>
      <c r="B9" s="300" t="s">
        <v>319</v>
      </c>
      <c r="C9" s="279"/>
      <c r="D9" s="279"/>
      <c r="E9" s="279"/>
      <c r="F9" s="278" t="s">
        <v>392</v>
      </c>
      <c r="G9" s="280"/>
      <c r="H9" s="230"/>
      <c r="I9" s="230"/>
      <c r="J9" s="230"/>
      <c r="K9" s="230"/>
      <c r="L9" s="230"/>
      <c r="M9" s="230"/>
      <c r="N9" s="230"/>
      <c r="O9" s="230"/>
    </row>
    <row r="10" spans="1:15" ht="30" customHeight="1">
      <c r="A10" s="256"/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</row>
    <row r="11" spans="1:15" ht="15.75" customHeight="1"/>
    <row r="12" spans="1:15" ht="15.75" customHeight="1"/>
    <row r="13" spans="1:15" ht="15.75" customHeight="1"/>
    <row r="14" spans="1:15" ht="15.75" customHeight="1"/>
    <row r="15" spans="1:15" ht="15.75" customHeight="1"/>
    <row r="16" spans="1:15" ht="15.75" customHeight="1"/>
    <row r="17" spans="4:12" ht="15.75" customHeight="1">
      <c r="D17" s="168"/>
      <c r="E17" s="168"/>
      <c r="F17" s="168"/>
      <c r="G17" s="168"/>
      <c r="H17" s="168"/>
      <c r="I17" s="169"/>
      <c r="L17" s="168"/>
    </row>
    <row r="18" spans="4:12" ht="15.75" customHeight="1">
      <c r="D18" s="170"/>
      <c r="E18" s="170"/>
      <c r="F18" s="170"/>
      <c r="G18" s="170"/>
      <c r="H18" s="170"/>
      <c r="I18" s="169"/>
      <c r="L18" s="170"/>
    </row>
    <row r="19" spans="4:12" ht="15.75" customHeight="1">
      <c r="D19" s="168"/>
      <c r="E19" s="168"/>
      <c r="F19" s="168"/>
      <c r="G19" s="168"/>
      <c r="H19" s="168"/>
      <c r="I19" s="169"/>
      <c r="L19" s="168"/>
    </row>
    <row r="20" spans="4:12" ht="15.75" customHeight="1">
      <c r="D20" s="170"/>
      <c r="E20" s="170"/>
      <c r="F20" s="170"/>
      <c r="G20" s="170"/>
      <c r="H20" s="170"/>
      <c r="I20" s="169"/>
    </row>
    <row r="21" spans="4:12" ht="15.75" customHeight="1"/>
    <row r="22" spans="4:12" ht="15.75" customHeight="1"/>
    <row r="23" spans="4:12" ht="15.75" customHeight="1"/>
    <row r="24" spans="4:12" ht="15.75" customHeight="1"/>
    <row r="25" spans="4:12" ht="15.75" customHeight="1"/>
    <row r="26" spans="4:12" ht="15.75" customHeight="1"/>
    <row r="27" spans="4:12" ht="15.75" customHeight="1"/>
    <row r="28" spans="4:12" ht="15.75" customHeight="1"/>
    <row r="29" spans="4:12" ht="15.75" customHeight="1"/>
    <row r="30" spans="4:12" ht="15.75" customHeight="1"/>
    <row r="31" spans="4:12" ht="15.75" customHeight="1"/>
    <row r="32" spans="4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O10"/>
    <mergeCell ref="B9:E9"/>
    <mergeCell ref="F9:G9"/>
    <mergeCell ref="A1:G1"/>
    <mergeCell ref="I1:O1"/>
    <mergeCell ref="A7:O7"/>
    <mergeCell ref="A8:A9"/>
    <mergeCell ref="B8:D8"/>
    <mergeCell ref="E8:F8"/>
    <mergeCell ref="H8:O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988"/>
  <sheetViews>
    <sheetView topLeftCell="A3" workbookViewId="0">
      <selection activeCell="I6" sqref="I6"/>
    </sheetView>
  </sheetViews>
  <sheetFormatPr defaultColWidth="12.6640625" defaultRowHeight="15" customHeight="1"/>
  <cols>
    <col min="1" max="1" width="10.77734375" customWidth="1"/>
    <col min="2" max="2" width="13.33203125" customWidth="1"/>
    <col min="3" max="3" width="27" customWidth="1"/>
    <col min="4" max="4" width="3.77734375" customWidth="1"/>
    <col min="5" max="5" width="27" customWidth="1"/>
    <col min="6" max="6" width="23" customWidth="1"/>
    <col min="7" max="7" width="19.6640625" customWidth="1"/>
    <col min="8" max="8" width="22.33203125" customWidth="1"/>
    <col min="9" max="10" width="33.88671875" customWidth="1"/>
  </cols>
  <sheetData>
    <row r="1" spans="1:13" ht="13.2">
      <c r="A1" s="271" t="s">
        <v>31</v>
      </c>
      <c r="B1" s="232"/>
      <c r="C1" s="232"/>
      <c r="D1" s="232"/>
      <c r="E1" s="232"/>
      <c r="F1" s="232"/>
      <c r="G1" s="232"/>
      <c r="H1" s="232"/>
      <c r="I1" s="233"/>
      <c r="J1" s="256"/>
    </row>
    <row r="2" spans="1:13" ht="46.5" customHeight="1">
      <c r="A2" s="30"/>
      <c r="B2" s="27" t="s">
        <v>207</v>
      </c>
      <c r="C2" s="28" t="s">
        <v>208</v>
      </c>
      <c r="D2" s="79" t="s">
        <v>209</v>
      </c>
      <c r="E2" s="80" t="s">
        <v>210</v>
      </c>
      <c r="F2" s="27" t="s">
        <v>80</v>
      </c>
      <c r="G2" s="27" t="s">
        <v>81</v>
      </c>
      <c r="H2" s="27" t="s">
        <v>82</v>
      </c>
      <c r="I2" s="27" t="s">
        <v>211</v>
      </c>
      <c r="J2" s="230"/>
    </row>
    <row r="3" spans="1:13" ht="45.6">
      <c r="A3" s="252" t="s">
        <v>212</v>
      </c>
      <c r="B3" s="81">
        <v>1</v>
      </c>
      <c r="C3" s="82" t="s">
        <v>236</v>
      </c>
      <c r="D3" s="81" t="s">
        <v>213</v>
      </c>
      <c r="E3" s="81" t="s">
        <v>11</v>
      </c>
      <c r="F3" s="84">
        <v>45716</v>
      </c>
      <c r="G3" s="81" t="s">
        <v>393</v>
      </c>
      <c r="H3" s="81" t="s">
        <v>394</v>
      </c>
      <c r="I3" s="92">
        <v>45689</v>
      </c>
      <c r="J3" s="230"/>
    </row>
    <row r="4" spans="1:13" ht="45.6">
      <c r="A4" s="253"/>
      <c r="B4" s="81">
        <v>2</v>
      </c>
      <c r="C4" s="82" t="s">
        <v>1</v>
      </c>
      <c r="D4" s="83" t="s">
        <v>213</v>
      </c>
      <c r="E4" s="81" t="s">
        <v>275</v>
      </c>
      <c r="F4" s="84">
        <v>45716</v>
      </c>
      <c r="G4" s="81" t="s">
        <v>257</v>
      </c>
      <c r="H4" s="81" t="s">
        <v>394</v>
      </c>
      <c r="I4" s="93" t="s">
        <v>268</v>
      </c>
      <c r="J4" s="230"/>
    </row>
    <row r="5" spans="1:13" ht="45.6">
      <c r="A5" s="253"/>
      <c r="B5" s="86">
        <v>3</v>
      </c>
      <c r="C5" s="86" t="s">
        <v>233</v>
      </c>
      <c r="D5" s="86" t="s">
        <v>213</v>
      </c>
      <c r="E5" s="82" t="s">
        <v>253</v>
      </c>
      <c r="F5" s="87">
        <v>45717</v>
      </c>
      <c r="G5" s="86" t="s">
        <v>393</v>
      </c>
      <c r="H5" s="86" t="s">
        <v>394</v>
      </c>
      <c r="I5" s="94">
        <v>45661</v>
      </c>
      <c r="J5" s="230"/>
      <c r="L5" s="131" t="s">
        <v>372</v>
      </c>
      <c r="M5" s="131" t="s">
        <v>377</v>
      </c>
    </row>
    <row r="6" spans="1:13" ht="45.6">
      <c r="A6" s="253"/>
      <c r="B6" s="86">
        <v>4</v>
      </c>
      <c r="C6" s="82" t="s">
        <v>15</v>
      </c>
      <c r="D6" s="86" t="s">
        <v>213</v>
      </c>
      <c r="E6" s="86" t="s">
        <v>9</v>
      </c>
      <c r="F6" s="87">
        <v>45717</v>
      </c>
      <c r="G6" s="86" t="s">
        <v>257</v>
      </c>
      <c r="H6" s="86" t="s">
        <v>394</v>
      </c>
      <c r="I6" s="95" t="s">
        <v>395</v>
      </c>
      <c r="J6" s="230"/>
      <c r="L6" s="131" t="s">
        <v>376</v>
      </c>
      <c r="M6" s="131" t="s">
        <v>373</v>
      </c>
    </row>
    <row r="7" spans="1:13" ht="45.6">
      <c r="A7" s="253"/>
      <c r="B7" s="81">
        <v>5</v>
      </c>
      <c r="C7" s="81" t="s">
        <v>1</v>
      </c>
      <c r="D7" s="81" t="s">
        <v>213</v>
      </c>
      <c r="E7" s="82" t="s">
        <v>236</v>
      </c>
      <c r="F7" s="84">
        <v>45718</v>
      </c>
      <c r="G7" s="81" t="s">
        <v>393</v>
      </c>
      <c r="H7" s="81" t="s">
        <v>394</v>
      </c>
      <c r="I7" s="92">
        <v>45661</v>
      </c>
      <c r="J7" s="230"/>
    </row>
    <row r="8" spans="1:13" ht="45.6">
      <c r="A8" s="253"/>
      <c r="B8" s="86">
        <v>6</v>
      </c>
      <c r="C8" s="86" t="s">
        <v>9</v>
      </c>
      <c r="D8" s="86" t="s">
        <v>213</v>
      </c>
      <c r="E8" s="82" t="s">
        <v>253</v>
      </c>
      <c r="F8" s="87">
        <v>45718</v>
      </c>
      <c r="G8" s="86" t="s">
        <v>257</v>
      </c>
      <c r="H8" s="86" t="s">
        <v>394</v>
      </c>
      <c r="I8" s="95" t="s">
        <v>218</v>
      </c>
      <c r="J8" s="230"/>
    </row>
    <row r="9" spans="1:13" ht="45.6">
      <c r="A9" s="253"/>
      <c r="B9" s="81">
        <v>7</v>
      </c>
      <c r="C9" s="81" t="s">
        <v>275</v>
      </c>
      <c r="D9" s="81" t="s">
        <v>213</v>
      </c>
      <c r="E9" s="82" t="s">
        <v>11</v>
      </c>
      <c r="F9" s="84">
        <v>45719</v>
      </c>
      <c r="G9" s="81" t="s">
        <v>393</v>
      </c>
      <c r="H9" s="81" t="s">
        <v>394</v>
      </c>
      <c r="I9" s="93" t="s">
        <v>396</v>
      </c>
      <c r="J9" s="230"/>
    </row>
    <row r="10" spans="1:13" ht="45.6">
      <c r="A10" s="253"/>
      <c r="B10" s="86">
        <v>8</v>
      </c>
      <c r="C10" s="86" t="s">
        <v>233</v>
      </c>
      <c r="D10" s="86" t="s">
        <v>213</v>
      </c>
      <c r="E10" s="82" t="s">
        <v>15</v>
      </c>
      <c r="F10" s="87">
        <v>45719</v>
      </c>
      <c r="G10" s="86" t="s">
        <v>257</v>
      </c>
      <c r="H10" s="86" t="s">
        <v>394</v>
      </c>
      <c r="I10" s="94">
        <v>45659</v>
      </c>
      <c r="J10" s="230"/>
    </row>
    <row r="11" spans="1:13" ht="45.6">
      <c r="A11" s="253"/>
      <c r="B11" s="81">
        <v>9</v>
      </c>
      <c r="C11" s="81" t="s">
        <v>275</v>
      </c>
      <c r="D11" s="81" t="s">
        <v>213</v>
      </c>
      <c r="E11" s="82" t="s">
        <v>236</v>
      </c>
      <c r="F11" s="84">
        <v>45720</v>
      </c>
      <c r="G11" s="81" t="s">
        <v>393</v>
      </c>
      <c r="H11" s="81" t="s">
        <v>394</v>
      </c>
      <c r="I11" s="93" t="s">
        <v>396</v>
      </c>
      <c r="J11" s="230"/>
    </row>
    <row r="12" spans="1:13" ht="45.6">
      <c r="A12" s="253"/>
      <c r="B12" s="86">
        <v>10</v>
      </c>
      <c r="C12" s="86" t="s">
        <v>233</v>
      </c>
      <c r="D12" s="86" t="s">
        <v>213</v>
      </c>
      <c r="E12" s="82" t="s">
        <v>9</v>
      </c>
      <c r="F12" s="87">
        <v>45720</v>
      </c>
      <c r="G12" s="86" t="s">
        <v>257</v>
      </c>
      <c r="H12" s="86" t="s">
        <v>394</v>
      </c>
      <c r="I12" s="95" t="s">
        <v>328</v>
      </c>
      <c r="J12" s="230"/>
    </row>
    <row r="13" spans="1:13" ht="45.6">
      <c r="A13" s="253"/>
      <c r="B13" s="81">
        <v>11</v>
      </c>
      <c r="C13" s="81" t="s">
        <v>1</v>
      </c>
      <c r="D13" s="81" t="s">
        <v>213</v>
      </c>
      <c r="E13" s="82" t="s">
        <v>11</v>
      </c>
      <c r="F13" s="84">
        <v>45721</v>
      </c>
      <c r="G13" s="81" t="s">
        <v>393</v>
      </c>
      <c r="H13" s="81" t="s">
        <v>394</v>
      </c>
      <c r="I13" s="93"/>
      <c r="J13" s="230"/>
    </row>
    <row r="14" spans="1:13" ht="45.6">
      <c r="A14" s="251"/>
      <c r="B14" s="86">
        <v>12</v>
      </c>
      <c r="C14" s="86" t="s">
        <v>253</v>
      </c>
      <c r="D14" s="86" t="s">
        <v>213</v>
      </c>
      <c r="E14" s="82" t="s">
        <v>15</v>
      </c>
      <c r="F14" s="87">
        <v>45721</v>
      </c>
      <c r="G14" s="86" t="s">
        <v>257</v>
      </c>
      <c r="H14" s="86" t="s">
        <v>394</v>
      </c>
      <c r="I14" s="95"/>
      <c r="J14" s="230"/>
    </row>
    <row r="15" spans="1:13" ht="22.8">
      <c r="A15" s="299"/>
      <c r="B15" s="232"/>
      <c r="C15" s="232"/>
      <c r="D15" s="232"/>
      <c r="E15" s="232"/>
      <c r="F15" s="232"/>
      <c r="G15" s="232"/>
      <c r="H15" s="232"/>
      <c r="I15" s="233"/>
      <c r="J15" s="230"/>
    </row>
    <row r="16" spans="1:13" ht="45.6">
      <c r="A16" s="252" t="s">
        <v>227</v>
      </c>
      <c r="B16" s="30">
        <v>13</v>
      </c>
      <c r="C16" s="98" t="s">
        <v>397</v>
      </c>
      <c r="D16" s="30" t="s">
        <v>213</v>
      </c>
      <c r="E16" s="98" t="s">
        <v>398</v>
      </c>
      <c r="F16" s="31">
        <v>45723</v>
      </c>
      <c r="G16" s="30" t="s">
        <v>399</v>
      </c>
      <c r="H16" s="30" t="s">
        <v>394</v>
      </c>
      <c r="I16" s="99"/>
      <c r="J16" s="230"/>
    </row>
    <row r="17" spans="1:10" ht="45.6">
      <c r="A17" s="251"/>
      <c r="B17" s="30">
        <v>14</v>
      </c>
      <c r="C17" s="30" t="s">
        <v>400</v>
      </c>
      <c r="D17" s="30" t="s">
        <v>213</v>
      </c>
      <c r="E17" s="30" t="s">
        <v>401</v>
      </c>
      <c r="F17" s="31">
        <v>45723</v>
      </c>
      <c r="G17" s="30" t="s">
        <v>402</v>
      </c>
      <c r="H17" s="30" t="s">
        <v>394</v>
      </c>
      <c r="I17" s="99"/>
      <c r="J17" s="230"/>
    </row>
    <row r="18" spans="1:10" ht="22.8">
      <c r="A18" s="299"/>
      <c r="B18" s="232"/>
      <c r="C18" s="232"/>
      <c r="D18" s="232"/>
      <c r="E18" s="232"/>
      <c r="F18" s="232"/>
      <c r="G18" s="232"/>
      <c r="H18" s="232"/>
      <c r="I18" s="233"/>
      <c r="J18" s="230"/>
    </row>
    <row r="19" spans="1:10" ht="68.400000000000006">
      <c r="A19" s="30" t="s">
        <v>232</v>
      </c>
      <c r="B19" s="30">
        <v>15</v>
      </c>
      <c r="C19" s="98" t="s">
        <v>403</v>
      </c>
      <c r="D19" s="30" t="s">
        <v>213</v>
      </c>
      <c r="E19" s="82" t="s">
        <v>404</v>
      </c>
      <c r="F19" s="31">
        <v>45724</v>
      </c>
      <c r="G19" s="30" t="s">
        <v>405</v>
      </c>
      <c r="H19" s="30" t="s">
        <v>394</v>
      </c>
      <c r="I19" s="171"/>
      <c r="J19" s="230"/>
    </row>
    <row r="20" spans="1:10" ht="22.8">
      <c r="A20" s="299"/>
      <c r="B20" s="232"/>
      <c r="C20" s="232"/>
      <c r="D20" s="232"/>
      <c r="E20" s="232"/>
      <c r="F20" s="232"/>
      <c r="G20" s="232"/>
      <c r="H20" s="232"/>
      <c r="I20" s="233"/>
      <c r="J20" s="230"/>
    </row>
    <row r="21" spans="1:10" ht="45.6">
      <c r="A21" s="30" t="s">
        <v>235</v>
      </c>
      <c r="B21" s="30">
        <v>16</v>
      </c>
      <c r="C21" s="82" t="s">
        <v>406</v>
      </c>
      <c r="D21" s="30" t="s">
        <v>213</v>
      </c>
      <c r="E21" s="30" t="s">
        <v>407</v>
      </c>
      <c r="F21" s="31">
        <v>45724</v>
      </c>
      <c r="G21" s="30" t="s">
        <v>408</v>
      </c>
      <c r="H21" s="30" t="s">
        <v>394</v>
      </c>
      <c r="I21" s="30"/>
      <c r="J21" s="230"/>
    </row>
    <row r="22" spans="1:10" ht="15.75" customHeight="1">
      <c r="A22" s="256"/>
      <c r="B22" s="230"/>
      <c r="C22" s="230"/>
      <c r="D22" s="230"/>
      <c r="E22" s="230"/>
      <c r="F22" s="230"/>
      <c r="G22" s="230"/>
      <c r="H22" s="230"/>
      <c r="I22" s="230"/>
      <c r="J22" s="230"/>
    </row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8">
    <mergeCell ref="A1:I1"/>
    <mergeCell ref="J1:J22"/>
    <mergeCell ref="A3:A14"/>
    <mergeCell ref="A15:I15"/>
    <mergeCell ref="A16:A17"/>
    <mergeCell ref="A18:I18"/>
    <mergeCell ref="A20:I20"/>
    <mergeCell ref="A22:I2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T1000"/>
  <sheetViews>
    <sheetView topLeftCell="B1" workbookViewId="0">
      <pane ySplit="2" topLeftCell="A3" activePane="bottomLeft" state="frozen"/>
      <selection pane="bottomLeft" activeCell="A7" sqref="A7:T7"/>
    </sheetView>
  </sheetViews>
  <sheetFormatPr defaultColWidth="12.6640625" defaultRowHeight="15" customHeight="1"/>
  <cols>
    <col min="1" max="1" width="12.77734375" customWidth="1"/>
    <col min="2" max="2" width="7.21875" customWidth="1"/>
    <col min="3" max="3" width="8.109375" customWidth="1"/>
    <col min="4" max="4" width="7.6640625" customWidth="1"/>
    <col min="5" max="5" width="7.21875" customWidth="1"/>
    <col min="6" max="6" width="9" customWidth="1"/>
    <col min="7" max="7" width="6.21875" customWidth="1"/>
    <col min="8" max="8" width="11.88671875" customWidth="1"/>
    <col min="9" max="9" width="9.77734375" customWidth="1"/>
    <col min="10" max="10" width="0.33203125" customWidth="1"/>
    <col min="11" max="11" width="14.109375" customWidth="1"/>
    <col min="12" max="12" width="7" customWidth="1"/>
    <col min="13" max="13" width="6.6640625" customWidth="1"/>
    <col min="14" max="14" width="6.44140625" customWidth="1"/>
    <col min="15" max="15" width="6.6640625" customWidth="1"/>
    <col min="16" max="16" width="8.88671875" customWidth="1"/>
    <col min="17" max="17" width="6.109375" customWidth="1"/>
    <col min="18" max="18" width="11.88671875" customWidth="1"/>
    <col min="19" max="20" width="9.77734375" customWidth="1"/>
  </cols>
  <sheetData>
    <row r="1" spans="1:20" ht="40.5" customHeight="1">
      <c r="A1" s="275" t="s">
        <v>51</v>
      </c>
      <c r="B1" s="232"/>
      <c r="C1" s="232"/>
      <c r="D1" s="232"/>
      <c r="E1" s="232"/>
      <c r="F1" s="232"/>
      <c r="G1" s="232"/>
      <c r="H1" s="232"/>
      <c r="I1" s="233"/>
      <c r="J1" s="62"/>
      <c r="K1" s="276" t="s">
        <v>52</v>
      </c>
      <c r="L1" s="232"/>
      <c r="M1" s="232"/>
      <c r="N1" s="232"/>
      <c r="O1" s="232"/>
      <c r="P1" s="232"/>
      <c r="Q1" s="232"/>
      <c r="R1" s="232"/>
      <c r="S1" s="232"/>
      <c r="T1" s="233"/>
    </row>
    <row r="2" spans="1:20" ht="63.75" customHeight="1">
      <c r="A2" s="30" t="s">
        <v>239</v>
      </c>
      <c r="B2" s="30" t="s">
        <v>240</v>
      </c>
      <c r="C2" s="30" t="s">
        <v>241</v>
      </c>
      <c r="D2" s="30" t="s">
        <v>313</v>
      </c>
      <c r="E2" s="30" t="s">
        <v>141</v>
      </c>
      <c r="F2" s="30" t="s">
        <v>314</v>
      </c>
      <c r="G2" s="30" t="s">
        <v>315</v>
      </c>
      <c r="H2" s="30" t="s">
        <v>316</v>
      </c>
      <c r="I2" s="100" t="s">
        <v>245</v>
      </c>
      <c r="J2" s="105"/>
      <c r="K2" s="30" t="s">
        <v>239</v>
      </c>
      <c r="L2" s="30" t="s">
        <v>240</v>
      </c>
      <c r="M2" s="30" t="s">
        <v>241</v>
      </c>
      <c r="N2" s="30" t="s">
        <v>313</v>
      </c>
      <c r="O2" s="30" t="s">
        <v>141</v>
      </c>
      <c r="P2" s="30" t="s">
        <v>314</v>
      </c>
      <c r="Q2" s="30" t="s">
        <v>315</v>
      </c>
      <c r="R2" s="30" t="s">
        <v>316</v>
      </c>
      <c r="S2" s="100" t="s">
        <v>245</v>
      </c>
      <c r="T2" s="30" t="s">
        <v>409</v>
      </c>
    </row>
    <row r="3" spans="1:20" ht="33.75" customHeight="1">
      <c r="A3" s="78" t="s">
        <v>9</v>
      </c>
      <c r="B3" s="162">
        <v>3</v>
      </c>
      <c r="C3" s="162">
        <v>1</v>
      </c>
      <c r="D3" s="161">
        <v>0</v>
      </c>
      <c r="E3" s="161">
        <v>2</v>
      </c>
      <c r="F3" s="162">
        <v>2</v>
      </c>
      <c r="G3" s="162">
        <v>4</v>
      </c>
      <c r="H3" s="162">
        <v>7</v>
      </c>
      <c r="I3" s="163">
        <v>-3</v>
      </c>
      <c r="J3" s="105"/>
      <c r="K3" s="151" t="s">
        <v>236</v>
      </c>
      <c r="L3" s="134">
        <v>3</v>
      </c>
      <c r="M3" s="134">
        <v>3</v>
      </c>
      <c r="N3" s="134">
        <v>0</v>
      </c>
      <c r="O3" s="134">
        <v>0</v>
      </c>
      <c r="P3" s="133">
        <v>6</v>
      </c>
      <c r="Q3" s="161"/>
      <c r="R3" s="161"/>
      <c r="S3" s="161"/>
      <c r="T3" s="161"/>
    </row>
    <row r="4" spans="1:20" ht="33" customHeight="1">
      <c r="A4" s="151" t="s">
        <v>253</v>
      </c>
      <c r="B4" s="134">
        <v>2</v>
      </c>
      <c r="C4" s="134">
        <v>2</v>
      </c>
      <c r="D4" s="134">
        <v>0</v>
      </c>
      <c r="E4" s="134">
        <v>0</v>
      </c>
      <c r="F4" s="134">
        <v>4</v>
      </c>
      <c r="G4" s="162">
        <v>7</v>
      </c>
      <c r="H4" s="162">
        <v>1</v>
      </c>
      <c r="I4" s="163">
        <v>6</v>
      </c>
      <c r="J4" s="105"/>
      <c r="K4" s="15" t="s">
        <v>237</v>
      </c>
      <c r="L4" s="161">
        <v>3</v>
      </c>
      <c r="M4" s="161">
        <v>0</v>
      </c>
      <c r="N4" s="161">
        <v>0</v>
      </c>
      <c r="O4" s="161">
        <v>3</v>
      </c>
      <c r="P4" s="161">
        <v>0</v>
      </c>
      <c r="Q4" s="161"/>
      <c r="R4" s="161"/>
      <c r="S4" s="161"/>
      <c r="T4" s="161"/>
    </row>
    <row r="5" spans="1:20" ht="33" customHeight="1">
      <c r="A5" s="15" t="s">
        <v>255</v>
      </c>
      <c r="B5" s="24">
        <v>3</v>
      </c>
      <c r="C5" s="38">
        <v>0</v>
      </c>
      <c r="D5" s="38">
        <v>0</v>
      </c>
      <c r="E5" s="24">
        <v>3</v>
      </c>
      <c r="F5" s="38">
        <v>0</v>
      </c>
      <c r="G5" s="38"/>
      <c r="H5" s="38"/>
      <c r="I5" s="96"/>
      <c r="J5" s="105"/>
      <c r="K5" s="15" t="s">
        <v>278</v>
      </c>
      <c r="L5" s="38">
        <v>2</v>
      </c>
      <c r="M5" s="38">
        <v>1</v>
      </c>
      <c r="N5" s="38">
        <v>0</v>
      </c>
      <c r="O5" s="38">
        <v>1</v>
      </c>
      <c r="P5" s="38">
        <v>2</v>
      </c>
      <c r="Q5" s="38"/>
      <c r="R5" s="38"/>
      <c r="S5" s="38"/>
      <c r="T5" s="38"/>
    </row>
    <row r="6" spans="1:20" ht="35.25" customHeight="1">
      <c r="A6" s="172" t="s">
        <v>254</v>
      </c>
      <c r="B6" s="134">
        <v>2</v>
      </c>
      <c r="C6" s="134">
        <v>2</v>
      </c>
      <c r="D6" s="134">
        <v>0</v>
      </c>
      <c r="E6" s="134">
        <v>0</v>
      </c>
      <c r="F6" s="134">
        <v>4</v>
      </c>
      <c r="G6" s="24">
        <v>6</v>
      </c>
      <c r="H6" s="24">
        <v>1</v>
      </c>
      <c r="I6" s="164">
        <v>5</v>
      </c>
      <c r="J6" s="165"/>
      <c r="K6" s="15" t="s">
        <v>234</v>
      </c>
      <c r="L6" s="38">
        <v>2</v>
      </c>
      <c r="M6" s="38">
        <v>1</v>
      </c>
      <c r="N6" s="38">
        <v>0</v>
      </c>
      <c r="O6" s="38">
        <v>1</v>
      </c>
      <c r="P6" s="38">
        <v>2</v>
      </c>
      <c r="Q6" s="38"/>
      <c r="R6" s="38"/>
      <c r="S6" s="38"/>
      <c r="T6" s="38"/>
    </row>
    <row r="7" spans="1:20" ht="30" customHeight="1">
      <c r="A7" s="265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</row>
    <row r="8" spans="1:20" ht="30" customHeight="1">
      <c r="A8" s="273" t="s">
        <v>246</v>
      </c>
      <c r="B8" s="278" t="s">
        <v>247</v>
      </c>
      <c r="C8" s="279"/>
      <c r="D8" s="280"/>
      <c r="E8" s="278" t="s">
        <v>248</v>
      </c>
      <c r="F8" s="279"/>
      <c r="G8" s="278" t="s">
        <v>249</v>
      </c>
      <c r="H8" s="279"/>
      <c r="I8" s="280"/>
      <c r="J8" s="34"/>
      <c r="K8" s="301" t="s">
        <v>410</v>
      </c>
      <c r="L8" s="302" t="s">
        <v>411</v>
      </c>
      <c r="M8" s="279"/>
      <c r="N8" s="279"/>
      <c r="O8" s="280"/>
      <c r="P8" s="265"/>
      <c r="Q8" s="230"/>
      <c r="R8" s="230"/>
      <c r="S8" s="230"/>
      <c r="T8" s="230"/>
    </row>
    <row r="9" spans="1:20" ht="30" customHeight="1">
      <c r="A9" s="274"/>
      <c r="B9" s="300" t="s">
        <v>319</v>
      </c>
      <c r="C9" s="279"/>
      <c r="D9" s="279"/>
      <c r="E9" s="279"/>
      <c r="F9" s="278" t="s">
        <v>252</v>
      </c>
      <c r="G9" s="279"/>
      <c r="H9" s="279"/>
      <c r="I9" s="280"/>
      <c r="J9" s="34"/>
      <c r="K9" s="274"/>
      <c r="L9" s="302" t="s">
        <v>412</v>
      </c>
      <c r="M9" s="279"/>
      <c r="N9" s="279"/>
      <c r="O9" s="280"/>
      <c r="P9" s="230"/>
      <c r="Q9" s="230"/>
      <c r="R9" s="230"/>
      <c r="S9" s="230"/>
      <c r="T9" s="230"/>
    </row>
    <row r="10" spans="1:20" ht="30" customHeight="1">
      <c r="A10" s="256"/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</row>
    <row r="11" spans="1:20" ht="15.75" customHeight="1"/>
    <row r="12" spans="1:20" ht="15.75" customHeight="1"/>
    <row r="13" spans="1:20" ht="15.75" customHeight="1"/>
    <row r="14" spans="1:20" ht="15.75" customHeight="1"/>
    <row r="15" spans="1:20" ht="15.75" customHeight="1"/>
    <row r="16" spans="1:2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0:T10"/>
    <mergeCell ref="A1:I1"/>
    <mergeCell ref="K1:T1"/>
    <mergeCell ref="A7:T7"/>
    <mergeCell ref="A8:A9"/>
    <mergeCell ref="E8:F8"/>
    <mergeCell ref="K8:K9"/>
    <mergeCell ref="P8:T9"/>
    <mergeCell ref="G8:I8"/>
    <mergeCell ref="L8:O8"/>
    <mergeCell ref="B8:D8"/>
    <mergeCell ref="B9:E9"/>
    <mergeCell ref="F9:I9"/>
    <mergeCell ref="L9:O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J1000"/>
  <sheetViews>
    <sheetView workbookViewId="0"/>
  </sheetViews>
  <sheetFormatPr defaultColWidth="12.6640625" defaultRowHeight="15" customHeight="1"/>
  <cols>
    <col min="1" max="1" width="9.88671875" customWidth="1"/>
    <col min="2" max="2" width="13.21875" customWidth="1"/>
    <col min="3" max="3" width="27.109375" customWidth="1"/>
    <col min="4" max="4" width="4.33203125" customWidth="1"/>
    <col min="5" max="5" width="24.21875" customWidth="1"/>
    <col min="6" max="6" width="18.6640625" customWidth="1"/>
    <col min="7" max="7" width="19.6640625" customWidth="1"/>
    <col min="8" max="8" width="26" customWidth="1"/>
    <col min="9" max="9" width="34.33203125" customWidth="1"/>
  </cols>
  <sheetData>
    <row r="1" spans="1:10" ht="35.25" customHeight="1">
      <c r="A1" s="271" t="s">
        <v>75</v>
      </c>
      <c r="B1" s="232"/>
      <c r="C1" s="232"/>
      <c r="D1" s="232"/>
      <c r="E1" s="232"/>
      <c r="F1" s="232"/>
      <c r="G1" s="232"/>
      <c r="H1" s="232"/>
      <c r="I1" s="233"/>
      <c r="J1" s="32"/>
    </row>
    <row r="2" spans="1:10" ht="15.75" customHeight="1">
      <c r="A2" s="30"/>
      <c r="B2" s="27" t="s">
        <v>207</v>
      </c>
      <c r="C2" s="28" t="s">
        <v>208</v>
      </c>
      <c r="D2" s="79" t="s">
        <v>209</v>
      </c>
      <c r="E2" s="80" t="s">
        <v>210</v>
      </c>
      <c r="F2" s="27" t="s">
        <v>80</v>
      </c>
      <c r="G2" s="27" t="s">
        <v>81</v>
      </c>
      <c r="H2" s="27" t="s">
        <v>82</v>
      </c>
      <c r="I2" s="27" t="s">
        <v>211</v>
      </c>
      <c r="J2" s="32"/>
    </row>
    <row r="3" spans="1:10" ht="39" customHeight="1">
      <c r="A3" s="252" t="s">
        <v>212</v>
      </c>
      <c r="B3" s="81">
        <v>1</v>
      </c>
      <c r="C3" s="81" t="s">
        <v>344</v>
      </c>
      <c r="D3" s="83" t="s">
        <v>213</v>
      </c>
      <c r="E3" s="81" t="s">
        <v>347</v>
      </c>
      <c r="F3" s="84">
        <v>45353</v>
      </c>
      <c r="G3" s="81" t="s">
        <v>417</v>
      </c>
      <c r="H3" s="81" t="s">
        <v>418</v>
      </c>
      <c r="I3" s="81"/>
      <c r="J3" s="32"/>
    </row>
    <row r="4" spans="1:10" ht="38.25" customHeight="1">
      <c r="A4" s="253"/>
      <c r="B4" s="86">
        <v>2</v>
      </c>
      <c r="C4" s="86" t="s">
        <v>340</v>
      </c>
      <c r="D4" s="86" t="s">
        <v>213</v>
      </c>
      <c r="E4" s="86" t="s">
        <v>341</v>
      </c>
      <c r="F4" s="87">
        <v>45353</v>
      </c>
      <c r="G4" s="86" t="s">
        <v>417</v>
      </c>
      <c r="H4" s="86" t="s">
        <v>419</v>
      </c>
      <c r="I4" s="86"/>
      <c r="J4" s="32"/>
    </row>
    <row r="5" spans="1:10" ht="38.25" customHeight="1">
      <c r="A5" s="253"/>
      <c r="B5" s="81">
        <v>3</v>
      </c>
      <c r="C5" s="81" t="s">
        <v>346</v>
      </c>
      <c r="D5" s="81" t="s">
        <v>213</v>
      </c>
      <c r="E5" s="81" t="s">
        <v>349</v>
      </c>
      <c r="F5" s="84">
        <v>45353</v>
      </c>
      <c r="G5" s="81" t="s">
        <v>420</v>
      </c>
      <c r="H5" s="81" t="s">
        <v>418</v>
      </c>
      <c r="I5" s="81"/>
      <c r="J5" s="32"/>
    </row>
    <row r="6" spans="1:10" ht="39.75" customHeight="1">
      <c r="A6" s="253"/>
      <c r="B6" s="86">
        <v>4</v>
      </c>
      <c r="C6" s="86" t="s">
        <v>345</v>
      </c>
      <c r="D6" s="86" t="s">
        <v>213</v>
      </c>
      <c r="E6" s="86" t="s">
        <v>421</v>
      </c>
      <c r="F6" s="87">
        <v>45353</v>
      </c>
      <c r="G6" s="86" t="s">
        <v>420</v>
      </c>
      <c r="H6" s="86" t="s">
        <v>419</v>
      </c>
      <c r="I6" s="86"/>
      <c r="J6" s="32"/>
    </row>
    <row r="7" spans="1:10" ht="38.25" customHeight="1">
      <c r="A7" s="253"/>
      <c r="B7" s="81">
        <v>5</v>
      </c>
      <c r="C7" s="81" t="s">
        <v>344</v>
      </c>
      <c r="D7" s="81" t="s">
        <v>213</v>
      </c>
      <c r="E7" s="81" t="s">
        <v>346</v>
      </c>
      <c r="F7" s="84">
        <v>45354</v>
      </c>
      <c r="G7" s="81" t="s">
        <v>417</v>
      </c>
      <c r="H7" s="81" t="s">
        <v>418</v>
      </c>
      <c r="I7" s="81"/>
      <c r="J7" s="32"/>
    </row>
    <row r="8" spans="1:10" ht="38.25" customHeight="1">
      <c r="A8" s="253"/>
      <c r="B8" s="86">
        <v>6</v>
      </c>
      <c r="C8" s="86" t="s">
        <v>340</v>
      </c>
      <c r="D8" s="86" t="s">
        <v>213</v>
      </c>
      <c r="E8" s="86" t="s">
        <v>345</v>
      </c>
      <c r="F8" s="87">
        <v>45354</v>
      </c>
      <c r="G8" s="86" t="s">
        <v>417</v>
      </c>
      <c r="H8" s="86" t="s">
        <v>419</v>
      </c>
      <c r="I8" s="86"/>
      <c r="J8" s="32"/>
    </row>
    <row r="9" spans="1:10" ht="38.25" customHeight="1">
      <c r="A9" s="253"/>
      <c r="B9" s="81">
        <v>7</v>
      </c>
      <c r="C9" s="81" t="s">
        <v>347</v>
      </c>
      <c r="D9" s="81" t="s">
        <v>213</v>
      </c>
      <c r="E9" s="81" t="s">
        <v>349</v>
      </c>
      <c r="F9" s="84">
        <v>45354</v>
      </c>
      <c r="G9" s="81" t="s">
        <v>420</v>
      </c>
      <c r="H9" s="81" t="s">
        <v>418</v>
      </c>
      <c r="I9" s="81"/>
      <c r="J9" s="32"/>
    </row>
    <row r="10" spans="1:10" ht="38.25" customHeight="1">
      <c r="A10" s="253"/>
      <c r="B10" s="86">
        <v>8</v>
      </c>
      <c r="C10" s="86" t="s">
        <v>341</v>
      </c>
      <c r="D10" s="86" t="s">
        <v>213</v>
      </c>
      <c r="E10" s="86" t="s">
        <v>421</v>
      </c>
      <c r="F10" s="87">
        <v>45354</v>
      </c>
      <c r="G10" s="86" t="s">
        <v>420</v>
      </c>
      <c r="H10" s="86" t="s">
        <v>419</v>
      </c>
      <c r="I10" s="86"/>
      <c r="J10" s="32"/>
    </row>
    <row r="11" spans="1:10" ht="40.5" customHeight="1">
      <c r="A11" s="253"/>
      <c r="B11" s="81">
        <v>9</v>
      </c>
      <c r="C11" s="81" t="s">
        <v>344</v>
      </c>
      <c r="D11" s="81" t="s">
        <v>213</v>
      </c>
      <c r="E11" s="81" t="s">
        <v>349</v>
      </c>
      <c r="F11" s="84">
        <v>45360</v>
      </c>
      <c r="G11" s="81" t="s">
        <v>417</v>
      </c>
      <c r="H11" s="81" t="s">
        <v>418</v>
      </c>
      <c r="I11" s="81"/>
      <c r="J11" s="32"/>
    </row>
    <row r="12" spans="1:10" ht="38.25" customHeight="1">
      <c r="A12" s="253"/>
      <c r="B12" s="86">
        <v>10</v>
      </c>
      <c r="C12" s="86" t="s">
        <v>340</v>
      </c>
      <c r="D12" s="86" t="s">
        <v>213</v>
      </c>
      <c r="E12" s="86" t="s">
        <v>421</v>
      </c>
      <c r="F12" s="87">
        <v>45360</v>
      </c>
      <c r="G12" s="86" t="s">
        <v>417</v>
      </c>
      <c r="H12" s="86" t="s">
        <v>419</v>
      </c>
      <c r="I12" s="86"/>
      <c r="J12" s="32"/>
    </row>
    <row r="13" spans="1:10" ht="39" customHeight="1">
      <c r="A13" s="253"/>
      <c r="B13" s="81">
        <v>11</v>
      </c>
      <c r="C13" s="81" t="s">
        <v>347</v>
      </c>
      <c r="D13" s="81" t="s">
        <v>213</v>
      </c>
      <c r="E13" s="81" t="s">
        <v>346</v>
      </c>
      <c r="F13" s="84">
        <v>45360</v>
      </c>
      <c r="G13" s="81" t="s">
        <v>420</v>
      </c>
      <c r="H13" s="81" t="s">
        <v>418</v>
      </c>
      <c r="I13" s="81"/>
      <c r="J13" s="32"/>
    </row>
    <row r="14" spans="1:10" ht="38.25" customHeight="1">
      <c r="A14" s="251"/>
      <c r="B14" s="86">
        <v>12</v>
      </c>
      <c r="C14" s="86" t="s">
        <v>341</v>
      </c>
      <c r="D14" s="86" t="s">
        <v>213</v>
      </c>
      <c r="E14" s="86" t="s">
        <v>345</v>
      </c>
      <c r="F14" s="87">
        <v>45360</v>
      </c>
      <c r="G14" s="86" t="s">
        <v>420</v>
      </c>
      <c r="H14" s="86" t="s">
        <v>419</v>
      </c>
      <c r="I14" s="86"/>
      <c r="J14" s="32"/>
    </row>
    <row r="15" spans="1:10" ht="33" customHeight="1">
      <c r="A15" s="299"/>
      <c r="B15" s="232"/>
      <c r="C15" s="232"/>
      <c r="D15" s="232"/>
      <c r="E15" s="232"/>
      <c r="F15" s="232"/>
      <c r="G15" s="232"/>
      <c r="H15" s="232"/>
      <c r="I15" s="233"/>
      <c r="J15" s="32"/>
    </row>
    <row r="16" spans="1:10" ht="31.5" customHeight="1">
      <c r="A16" s="252" t="s">
        <v>227</v>
      </c>
      <c r="B16" s="30">
        <v>13</v>
      </c>
      <c r="C16" s="30" t="s">
        <v>422</v>
      </c>
      <c r="D16" s="30" t="s">
        <v>213</v>
      </c>
      <c r="E16" s="30" t="s">
        <v>423</v>
      </c>
      <c r="F16" s="31">
        <v>45361</v>
      </c>
      <c r="G16" s="30" t="s">
        <v>417</v>
      </c>
      <c r="H16" s="30" t="s">
        <v>418</v>
      </c>
      <c r="I16" s="30"/>
      <c r="J16" s="32"/>
    </row>
    <row r="17" spans="1:10" ht="32.25" customHeight="1">
      <c r="A17" s="251"/>
      <c r="B17" s="30">
        <v>14</v>
      </c>
      <c r="C17" s="30" t="s">
        <v>424</v>
      </c>
      <c r="D17" s="30" t="s">
        <v>213</v>
      </c>
      <c r="E17" s="30" t="s">
        <v>425</v>
      </c>
      <c r="F17" s="31">
        <v>45361</v>
      </c>
      <c r="G17" s="30" t="s">
        <v>420</v>
      </c>
      <c r="H17" s="30" t="s">
        <v>418</v>
      </c>
      <c r="I17" s="30"/>
      <c r="J17" s="32"/>
    </row>
    <row r="18" spans="1:10" ht="33" customHeight="1">
      <c r="A18" s="299"/>
      <c r="B18" s="232"/>
      <c r="C18" s="232"/>
      <c r="D18" s="232"/>
      <c r="E18" s="232"/>
      <c r="F18" s="232"/>
      <c r="G18" s="232"/>
      <c r="H18" s="232"/>
      <c r="I18" s="233"/>
      <c r="J18" s="32"/>
    </row>
    <row r="19" spans="1:10" ht="38.25" customHeight="1">
      <c r="A19" s="30" t="s">
        <v>232</v>
      </c>
      <c r="B19" s="30">
        <v>15</v>
      </c>
      <c r="C19" s="30" t="s">
        <v>426</v>
      </c>
      <c r="D19" s="30" t="s">
        <v>213</v>
      </c>
      <c r="E19" s="30" t="s">
        <v>427</v>
      </c>
      <c r="F19" s="31">
        <v>45367</v>
      </c>
      <c r="G19" s="30" t="s">
        <v>417</v>
      </c>
      <c r="H19" s="30" t="s">
        <v>418</v>
      </c>
      <c r="I19" s="30"/>
      <c r="J19" s="32"/>
    </row>
    <row r="20" spans="1:10" ht="30.75" customHeight="1">
      <c r="A20" s="299"/>
      <c r="B20" s="232"/>
      <c r="C20" s="232"/>
      <c r="D20" s="232"/>
      <c r="E20" s="232"/>
      <c r="F20" s="232"/>
      <c r="G20" s="232"/>
      <c r="H20" s="232"/>
      <c r="I20" s="233"/>
      <c r="J20" s="32"/>
    </row>
    <row r="21" spans="1:10" ht="33" customHeight="1">
      <c r="A21" s="30" t="s">
        <v>235</v>
      </c>
      <c r="B21" s="30">
        <v>16</v>
      </c>
      <c r="C21" s="30" t="s">
        <v>428</v>
      </c>
      <c r="D21" s="30" t="s">
        <v>213</v>
      </c>
      <c r="E21" s="30" t="s">
        <v>429</v>
      </c>
      <c r="F21" s="31">
        <v>45367</v>
      </c>
      <c r="G21" s="30" t="s">
        <v>430</v>
      </c>
      <c r="H21" s="30" t="s">
        <v>418</v>
      </c>
      <c r="I21" s="30"/>
      <c r="J21" s="32"/>
    </row>
    <row r="22" spans="1:10" ht="33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30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fitToPage="1"/>
  </sheetPr>
  <dimension ref="A1:M1000"/>
  <sheetViews>
    <sheetView workbookViewId="0">
      <selection sqref="A1:I1"/>
    </sheetView>
  </sheetViews>
  <sheetFormatPr defaultColWidth="12.6640625" defaultRowHeight="15" customHeight="1"/>
  <cols>
    <col min="1" max="1" width="10.21875" customWidth="1"/>
    <col min="2" max="2" width="13.88671875" customWidth="1"/>
    <col min="3" max="3" width="27.21875" customWidth="1"/>
    <col min="4" max="4" width="3.6640625" customWidth="1"/>
    <col min="5" max="5" width="25.109375" customWidth="1"/>
    <col min="6" max="6" width="20.33203125" customWidth="1"/>
    <col min="7" max="7" width="19.77734375" customWidth="1"/>
    <col min="8" max="8" width="26.21875" customWidth="1"/>
    <col min="9" max="9" width="30.21875" customWidth="1"/>
  </cols>
  <sheetData>
    <row r="1" spans="1:13" ht="37.799999999999997">
      <c r="A1" s="271"/>
      <c r="B1" s="232"/>
      <c r="C1" s="232"/>
      <c r="D1" s="232"/>
      <c r="E1" s="232"/>
      <c r="F1" s="232"/>
      <c r="G1" s="232"/>
      <c r="H1" s="232"/>
      <c r="I1" s="233"/>
      <c r="J1" s="32"/>
    </row>
    <row r="2" spans="1:13" ht="61.2">
      <c r="A2" s="173"/>
      <c r="B2" s="174" t="s">
        <v>207</v>
      </c>
      <c r="C2" s="79" t="s">
        <v>208</v>
      </c>
      <c r="D2" s="79" t="s">
        <v>209</v>
      </c>
      <c r="E2" s="174" t="s">
        <v>210</v>
      </c>
      <c r="F2" s="174" t="s">
        <v>80</v>
      </c>
      <c r="G2" s="174" t="s">
        <v>81</v>
      </c>
      <c r="H2" s="174" t="s">
        <v>82</v>
      </c>
      <c r="I2" s="174" t="s">
        <v>211</v>
      </c>
      <c r="J2" s="32"/>
    </row>
    <row r="3" spans="1:13" ht="45.6">
      <c r="A3" s="297" t="s">
        <v>212</v>
      </c>
      <c r="B3" s="81">
        <v>1</v>
      </c>
      <c r="C3" s="82" t="s">
        <v>197</v>
      </c>
      <c r="D3" s="83" t="s">
        <v>213</v>
      </c>
      <c r="E3" s="81" t="s">
        <v>377</v>
      </c>
      <c r="F3" s="175">
        <v>45717</v>
      </c>
      <c r="G3" s="176" t="s">
        <v>431</v>
      </c>
      <c r="H3" s="176" t="s">
        <v>418</v>
      </c>
      <c r="I3" s="177">
        <v>45718</v>
      </c>
      <c r="J3" s="32"/>
    </row>
    <row r="4" spans="1:13" ht="45.6">
      <c r="A4" s="253"/>
      <c r="B4" s="81">
        <v>2</v>
      </c>
      <c r="C4" s="81" t="s">
        <v>413</v>
      </c>
      <c r="D4" s="81" t="s">
        <v>213</v>
      </c>
      <c r="E4" s="82" t="s">
        <v>289</v>
      </c>
      <c r="F4" s="175">
        <v>45717</v>
      </c>
      <c r="G4" s="176" t="s">
        <v>432</v>
      </c>
      <c r="H4" s="176" t="s">
        <v>419</v>
      </c>
      <c r="I4" s="178" t="s">
        <v>218</v>
      </c>
      <c r="J4" s="32"/>
    </row>
    <row r="5" spans="1:13" ht="45.6">
      <c r="A5" s="253"/>
      <c r="B5" s="86">
        <v>3</v>
      </c>
      <c r="C5" s="82" t="s">
        <v>293</v>
      </c>
      <c r="D5" s="86" t="s">
        <v>213</v>
      </c>
      <c r="E5" s="86" t="s">
        <v>416</v>
      </c>
      <c r="F5" s="179">
        <v>45717</v>
      </c>
      <c r="G5" s="180" t="s">
        <v>420</v>
      </c>
      <c r="H5" s="180" t="s">
        <v>418</v>
      </c>
      <c r="I5" s="181">
        <v>45717</v>
      </c>
      <c r="J5" s="32"/>
      <c r="L5" s="131" t="s">
        <v>372</v>
      </c>
      <c r="M5" s="131" t="s">
        <v>373</v>
      </c>
    </row>
    <row r="6" spans="1:13" ht="45.6">
      <c r="A6" s="253"/>
      <c r="B6" s="86">
        <v>4</v>
      </c>
      <c r="C6" s="82" t="s">
        <v>373</v>
      </c>
      <c r="D6" s="86" t="s">
        <v>213</v>
      </c>
      <c r="E6" s="86" t="s">
        <v>414</v>
      </c>
      <c r="F6" s="179">
        <v>45717</v>
      </c>
      <c r="G6" s="180" t="s">
        <v>433</v>
      </c>
      <c r="H6" s="180" t="s">
        <v>419</v>
      </c>
      <c r="I6" s="182" t="s">
        <v>226</v>
      </c>
      <c r="J6" s="32"/>
      <c r="L6" s="131" t="s">
        <v>376</v>
      </c>
      <c r="M6" s="131" t="s">
        <v>289</v>
      </c>
    </row>
    <row r="7" spans="1:13" ht="45.6">
      <c r="A7" s="253"/>
      <c r="B7" s="81">
        <v>5</v>
      </c>
      <c r="C7" s="82" t="s">
        <v>289</v>
      </c>
      <c r="D7" s="81" t="s">
        <v>213</v>
      </c>
      <c r="E7" s="81" t="s">
        <v>197</v>
      </c>
      <c r="F7" s="175">
        <v>45718</v>
      </c>
      <c r="G7" s="176" t="s">
        <v>431</v>
      </c>
      <c r="H7" s="176" t="s">
        <v>418</v>
      </c>
      <c r="I7" s="178" t="s">
        <v>226</v>
      </c>
      <c r="J7" s="32"/>
    </row>
    <row r="8" spans="1:13" ht="45.6">
      <c r="A8" s="253"/>
      <c r="B8" s="81">
        <v>6</v>
      </c>
      <c r="C8" s="81" t="s">
        <v>413</v>
      </c>
      <c r="D8" s="81" t="s">
        <v>213</v>
      </c>
      <c r="E8" s="82" t="s">
        <v>377</v>
      </c>
      <c r="F8" s="175">
        <v>45720</v>
      </c>
      <c r="G8" s="176" t="s">
        <v>105</v>
      </c>
      <c r="H8" s="176" t="s">
        <v>418</v>
      </c>
      <c r="I8" s="177">
        <v>45691</v>
      </c>
      <c r="J8" s="32"/>
    </row>
    <row r="9" spans="1:13" ht="45.6">
      <c r="A9" s="253"/>
      <c r="B9" s="86">
        <v>7</v>
      </c>
      <c r="C9" s="82" t="s">
        <v>373</v>
      </c>
      <c r="D9" s="86" t="s">
        <v>213</v>
      </c>
      <c r="E9" s="86" t="s">
        <v>416</v>
      </c>
      <c r="F9" s="179">
        <v>45718</v>
      </c>
      <c r="G9" s="180" t="s">
        <v>420</v>
      </c>
      <c r="H9" s="180" t="s">
        <v>419</v>
      </c>
      <c r="I9" s="181">
        <v>45717</v>
      </c>
      <c r="J9" s="32"/>
    </row>
    <row r="10" spans="1:13" ht="45.6">
      <c r="A10" s="253"/>
      <c r="B10" s="86">
        <v>8</v>
      </c>
      <c r="C10" s="82" t="s">
        <v>293</v>
      </c>
      <c r="D10" s="86" t="s">
        <v>213</v>
      </c>
      <c r="E10" s="86" t="s">
        <v>414</v>
      </c>
      <c r="F10" s="179">
        <v>45718</v>
      </c>
      <c r="G10" s="180" t="s">
        <v>434</v>
      </c>
      <c r="H10" s="180" t="s">
        <v>418</v>
      </c>
      <c r="I10" s="181">
        <v>45718</v>
      </c>
      <c r="J10" s="32"/>
    </row>
    <row r="11" spans="1:13" ht="45.6">
      <c r="A11" s="253"/>
      <c r="B11" s="81">
        <v>9</v>
      </c>
      <c r="C11" s="81" t="s">
        <v>413</v>
      </c>
      <c r="D11" s="81" t="s">
        <v>213</v>
      </c>
      <c r="E11" s="82" t="s">
        <v>197</v>
      </c>
      <c r="F11" s="175">
        <v>45719</v>
      </c>
      <c r="G11" s="176" t="s">
        <v>283</v>
      </c>
      <c r="H11" s="176" t="s">
        <v>418</v>
      </c>
      <c r="I11" s="178" t="s">
        <v>218</v>
      </c>
      <c r="J11" s="32"/>
    </row>
    <row r="12" spans="1:13" ht="45.6">
      <c r="A12" s="253"/>
      <c r="B12" s="81">
        <v>10</v>
      </c>
      <c r="C12" s="81" t="s">
        <v>377</v>
      </c>
      <c r="D12" s="81" t="s">
        <v>213</v>
      </c>
      <c r="E12" s="82" t="s">
        <v>289</v>
      </c>
      <c r="F12" s="175">
        <v>45719</v>
      </c>
      <c r="G12" s="176" t="s">
        <v>304</v>
      </c>
      <c r="H12" s="176" t="s">
        <v>419</v>
      </c>
      <c r="I12" s="177">
        <v>45660</v>
      </c>
      <c r="J12" s="32"/>
    </row>
    <row r="13" spans="1:13" ht="45.6">
      <c r="A13" s="253"/>
      <c r="B13" s="86">
        <v>11</v>
      </c>
      <c r="C13" s="82" t="s">
        <v>373</v>
      </c>
      <c r="D13" s="86" t="s">
        <v>213</v>
      </c>
      <c r="E13" s="86" t="s">
        <v>293</v>
      </c>
      <c r="F13" s="179">
        <v>45720</v>
      </c>
      <c r="G13" s="180" t="s">
        <v>283</v>
      </c>
      <c r="H13" s="180" t="s">
        <v>418</v>
      </c>
      <c r="I13" s="181">
        <v>45718</v>
      </c>
      <c r="J13" s="32"/>
    </row>
    <row r="14" spans="1:13" ht="45.6">
      <c r="A14" s="251"/>
      <c r="B14" s="86">
        <v>12</v>
      </c>
      <c r="C14" s="86" t="s">
        <v>414</v>
      </c>
      <c r="D14" s="86" t="s">
        <v>213</v>
      </c>
      <c r="E14" s="86" t="s">
        <v>416</v>
      </c>
      <c r="F14" s="179">
        <v>45720</v>
      </c>
      <c r="G14" s="180" t="s">
        <v>304</v>
      </c>
      <c r="H14" s="180" t="s">
        <v>419</v>
      </c>
      <c r="I14" s="182"/>
      <c r="J14" s="32"/>
    </row>
    <row r="15" spans="1:13" ht="22.8">
      <c r="A15" s="299"/>
      <c r="B15" s="232"/>
      <c r="C15" s="232"/>
      <c r="D15" s="232"/>
      <c r="E15" s="232"/>
      <c r="F15" s="232"/>
      <c r="G15" s="232"/>
      <c r="H15" s="232"/>
      <c r="I15" s="233"/>
      <c r="J15" s="32"/>
    </row>
    <row r="16" spans="1:13" ht="45.6">
      <c r="A16" s="252" t="s">
        <v>227</v>
      </c>
      <c r="B16" s="30">
        <v>13</v>
      </c>
      <c r="C16" s="30" t="s">
        <v>435</v>
      </c>
      <c r="D16" s="30" t="s">
        <v>213</v>
      </c>
      <c r="E16" s="30" t="s">
        <v>436</v>
      </c>
      <c r="F16" s="183">
        <v>45721</v>
      </c>
      <c r="G16" s="184" t="s">
        <v>283</v>
      </c>
      <c r="H16" s="30" t="s">
        <v>418</v>
      </c>
      <c r="I16" s="30"/>
      <c r="J16" s="32"/>
    </row>
    <row r="17" spans="1:10" ht="45.6">
      <c r="A17" s="251"/>
      <c r="B17" s="30">
        <v>14</v>
      </c>
      <c r="C17" s="30" t="s">
        <v>437</v>
      </c>
      <c r="D17" s="30" t="s">
        <v>213</v>
      </c>
      <c r="E17" s="30" t="s">
        <v>438</v>
      </c>
      <c r="F17" s="183">
        <v>45721</v>
      </c>
      <c r="G17" s="184" t="s">
        <v>304</v>
      </c>
      <c r="H17" s="30" t="s">
        <v>418</v>
      </c>
      <c r="I17" s="30"/>
      <c r="J17" s="32"/>
    </row>
    <row r="18" spans="1:10" ht="22.8">
      <c r="A18" s="299"/>
      <c r="B18" s="232"/>
      <c r="C18" s="232"/>
      <c r="D18" s="232"/>
      <c r="E18" s="232"/>
      <c r="F18" s="232"/>
      <c r="G18" s="232"/>
      <c r="H18" s="232"/>
      <c r="I18" s="233"/>
      <c r="J18" s="32"/>
    </row>
    <row r="19" spans="1:10" ht="68.400000000000006">
      <c r="A19" s="30" t="s">
        <v>232</v>
      </c>
      <c r="B19" s="30">
        <v>15</v>
      </c>
      <c r="C19" s="30" t="s">
        <v>385</v>
      </c>
      <c r="D19" s="30" t="s">
        <v>213</v>
      </c>
      <c r="E19" s="82" t="s">
        <v>404</v>
      </c>
      <c r="F19" s="183">
        <v>45723</v>
      </c>
      <c r="G19" s="184" t="s">
        <v>283</v>
      </c>
      <c r="H19" s="30" t="s">
        <v>418</v>
      </c>
      <c r="I19" s="30"/>
      <c r="J19" s="32"/>
    </row>
    <row r="20" spans="1:10" ht="22.8">
      <c r="A20" s="299"/>
      <c r="B20" s="232"/>
      <c r="C20" s="232"/>
      <c r="D20" s="232"/>
      <c r="E20" s="232"/>
      <c r="F20" s="232"/>
      <c r="G20" s="232"/>
      <c r="H20" s="232"/>
      <c r="I20" s="233"/>
      <c r="J20" s="32"/>
    </row>
    <row r="21" spans="1:10" ht="45.6">
      <c r="A21" s="30" t="s">
        <v>235</v>
      </c>
      <c r="B21" s="30">
        <v>16</v>
      </c>
      <c r="C21" s="82" t="s">
        <v>388</v>
      </c>
      <c r="D21" s="30" t="s">
        <v>213</v>
      </c>
      <c r="E21" s="30" t="s">
        <v>439</v>
      </c>
      <c r="F21" s="183">
        <v>45723</v>
      </c>
      <c r="G21" s="184" t="s">
        <v>304</v>
      </c>
      <c r="H21" s="30" t="s">
        <v>418</v>
      </c>
      <c r="I21" s="30"/>
      <c r="J21" s="32"/>
    </row>
    <row r="22" spans="1:10" ht="33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30.75" customHeight="1">
      <c r="A23" s="32"/>
      <c r="B23" s="32"/>
      <c r="F23" s="32"/>
      <c r="G23" s="32"/>
      <c r="H23" s="32"/>
      <c r="I23" s="32"/>
      <c r="J23" s="32"/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M1000"/>
  <sheetViews>
    <sheetView workbookViewId="0">
      <selection sqref="A1:I1"/>
    </sheetView>
  </sheetViews>
  <sheetFormatPr defaultColWidth="12.6640625" defaultRowHeight="15" customHeight="1"/>
  <cols>
    <col min="1" max="1" width="10.21875" customWidth="1"/>
    <col min="2" max="2" width="13.88671875" customWidth="1"/>
    <col min="3" max="3" width="27.21875" customWidth="1"/>
    <col min="4" max="4" width="3.6640625" customWidth="1"/>
    <col min="5" max="5" width="25.109375" customWidth="1"/>
    <col min="6" max="6" width="20.33203125" customWidth="1"/>
    <col min="7" max="7" width="19.77734375" customWidth="1"/>
    <col min="8" max="8" width="26.21875" customWidth="1"/>
    <col min="9" max="9" width="30.21875" customWidth="1"/>
  </cols>
  <sheetData>
    <row r="1" spans="1:13" ht="22.8">
      <c r="A1" s="271" t="s">
        <v>75</v>
      </c>
      <c r="B1" s="232"/>
      <c r="C1" s="232"/>
      <c r="D1" s="232"/>
      <c r="E1" s="232"/>
      <c r="F1" s="232"/>
      <c r="G1" s="232"/>
      <c r="H1" s="232"/>
      <c r="I1" s="233"/>
      <c r="J1" s="32"/>
    </row>
    <row r="2" spans="1:13" ht="61.2">
      <c r="A2" s="186"/>
      <c r="B2" s="187" t="s">
        <v>207</v>
      </c>
      <c r="C2" s="188" t="s">
        <v>208</v>
      </c>
      <c r="D2" s="188" t="s">
        <v>209</v>
      </c>
      <c r="E2" s="187" t="s">
        <v>210</v>
      </c>
      <c r="F2" s="187" t="s">
        <v>80</v>
      </c>
      <c r="G2" s="187" t="s">
        <v>81</v>
      </c>
      <c r="H2" s="187" t="s">
        <v>82</v>
      </c>
      <c r="I2" s="187" t="s">
        <v>211</v>
      </c>
      <c r="J2" s="32"/>
    </row>
    <row r="3" spans="1:13" ht="45.6">
      <c r="A3" s="273" t="s">
        <v>212</v>
      </c>
      <c r="B3" s="189">
        <v>1</v>
      </c>
      <c r="C3" s="190" t="s">
        <v>373</v>
      </c>
      <c r="D3" s="189" t="s">
        <v>213</v>
      </c>
      <c r="E3" s="189" t="s">
        <v>293</v>
      </c>
      <c r="F3" s="191">
        <v>45716</v>
      </c>
      <c r="G3" s="192" t="s">
        <v>446</v>
      </c>
      <c r="H3" s="189" t="s">
        <v>447</v>
      </c>
      <c r="I3" s="193" t="s">
        <v>268</v>
      </c>
      <c r="J3" s="32"/>
    </row>
    <row r="4" spans="1:13" ht="45.6">
      <c r="A4" s="303"/>
      <c r="B4" s="192">
        <v>2</v>
      </c>
      <c r="C4" s="192" t="s">
        <v>414</v>
      </c>
      <c r="D4" s="192" t="s">
        <v>213</v>
      </c>
      <c r="E4" s="190" t="s">
        <v>413</v>
      </c>
      <c r="F4" s="194">
        <v>45717</v>
      </c>
      <c r="G4" s="189" t="s">
        <v>431</v>
      </c>
      <c r="H4" s="192" t="s">
        <v>447</v>
      </c>
      <c r="I4" s="195">
        <v>45659</v>
      </c>
      <c r="J4" s="32"/>
    </row>
    <row r="5" spans="1:13" ht="45.6">
      <c r="A5" s="303"/>
      <c r="B5" s="189">
        <v>3</v>
      </c>
      <c r="C5" s="190" t="s">
        <v>373</v>
      </c>
      <c r="D5" s="189" t="s">
        <v>213</v>
      </c>
      <c r="E5" s="189" t="s">
        <v>289</v>
      </c>
      <c r="F5" s="194">
        <v>45718</v>
      </c>
      <c r="G5" s="189" t="s">
        <v>420</v>
      </c>
      <c r="H5" s="189" t="s">
        <v>447</v>
      </c>
      <c r="I5" s="193" t="s">
        <v>268</v>
      </c>
      <c r="J5" s="32"/>
      <c r="K5" s="6"/>
      <c r="L5" s="6"/>
    </row>
    <row r="6" spans="1:13" ht="45.6">
      <c r="A6" s="303"/>
      <c r="B6" s="192">
        <v>4</v>
      </c>
      <c r="C6" s="190" t="s">
        <v>415</v>
      </c>
      <c r="D6" s="192" t="s">
        <v>213</v>
      </c>
      <c r="E6" s="192" t="s">
        <v>413</v>
      </c>
      <c r="F6" s="191">
        <v>45718</v>
      </c>
      <c r="G6" s="192" t="s">
        <v>433</v>
      </c>
      <c r="H6" s="192" t="s">
        <v>447</v>
      </c>
      <c r="I6" s="195">
        <v>45689</v>
      </c>
      <c r="J6" s="32"/>
      <c r="K6" s="6"/>
      <c r="L6" s="113"/>
    </row>
    <row r="7" spans="1:13" ht="45.6">
      <c r="A7" s="303"/>
      <c r="B7" s="189">
        <v>5</v>
      </c>
      <c r="C7" s="190" t="s">
        <v>289</v>
      </c>
      <c r="D7" s="189" t="s">
        <v>213</v>
      </c>
      <c r="E7" s="189" t="s">
        <v>293</v>
      </c>
      <c r="F7" s="194">
        <v>45718</v>
      </c>
      <c r="G7" s="189" t="s">
        <v>431</v>
      </c>
      <c r="H7" s="189" t="s">
        <v>447</v>
      </c>
      <c r="I7" s="193" t="s">
        <v>268</v>
      </c>
      <c r="J7" s="32"/>
      <c r="K7" s="6"/>
      <c r="L7" s="6" t="s">
        <v>372</v>
      </c>
      <c r="M7" s="131" t="s">
        <v>373</v>
      </c>
    </row>
    <row r="8" spans="1:13" ht="45.6">
      <c r="A8" s="274"/>
      <c r="B8" s="192">
        <v>6</v>
      </c>
      <c r="C8" s="192" t="s">
        <v>414</v>
      </c>
      <c r="D8" s="192" t="s">
        <v>213</v>
      </c>
      <c r="E8" s="190" t="s">
        <v>415</v>
      </c>
      <c r="F8" s="191">
        <v>45716</v>
      </c>
      <c r="G8" s="192" t="s">
        <v>446</v>
      </c>
      <c r="H8" s="192" t="s">
        <v>448</v>
      </c>
      <c r="I8" s="196" t="s">
        <v>258</v>
      </c>
      <c r="J8" s="32"/>
      <c r="L8" s="131" t="s">
        <v>376</v>
      </c>
      <c r="M8" s="131" t="s">
        <v>289</v>
      </c>
    </row>
    <row r="9" spans="1:13" ht="25.2">
      <c r="A9" s="159"/>
      <c r="B9" s="89"/>
      <c r="C9" s="89"/>
      <c r="D9" s="89"/>
      <c r="E9" s="89"/>
      <c r="F9" s="90"/>
      <c r="G9" s="89"/>
      <c r="H9" s="89"/>
      <c r="I9" s="197"/>
      <c r="J9" s="32"/>
    </row>
    <row r="10" spans="1:13" ht="25.2">
      <c r="A10" s="32"/>
      <c r="B10" s="89"/>
      <c r="F10" s="90"/>
      <c r="G10" s="89"/>
      <c r="H10" s="89"/>
      <c r="I10" s="197"/>
      <c r="J10" s="32"/>
    </row>
    <row r="11" spans="1:13" ht="25.2">
      <c r="A11" s="32"/>
      <c r="B11" s="89"/>
      <c r="C11" s="89"/>
      <c r="D11" s="89"/>
      <c r="E11" s="89"/>
      <c r="F11" s="90"/>
      <c r="G11" s="89"/>
      <c r="H11" s="89"/>
      <c r="I11" s="197"/>
      <c r="J11" s="32"/>
    </row>
    <row r="12" spans="1:13" ht="25.2">
      <c r="A12" s="32"/>
      <c r="B12" s="89"/>
      <c r="C12" s="89"/>
      <c r="D12" s="89"/>
      <c r="E12" s="89"/>
      <c r="F12" s="90"/>
      <c r="G12" s="89"/>
      <c r="H12" s="89"/>
      <c r="I12" s="197"/>
      <c r="J12" s="32"/>
    </row>
    <row r="13" spans="1:13" ht="25.2">
      <c r="A13" s="32"/>
      <c r="B13" s="89"/>
      <c r="C13" s="89"/>
      <c r="D13" s="89"/>
      <c r="E13" s="89"/>
      <c r="F13" s="90"/>
      <c r="G13" s="89"/>
      <c r="H13" s="89"/>
      <c r="I13" s="197"/>
      <c r="J13" s="32"/>
    </row>
    <row r="14" spans="1:13" ht="25.2">
      <c r="A14" s="32"/>
      <c r="B14" s="89"/>
      <c r="C14" s="89"/>
      <c r="D14" s="89"/>
      <c r="E14" s="89"/>
      <c r="F14" s="90"/>
      <c r="G14" s="89"/>
      <c r="H14" s="89"/>
      <c r="I14" s="197"/>
      <c r="J14" s="32"/>
    </row>
    <row r="15" spans="1:13" ht="22.8">
      <c r="A15" s="304"/>
      <c r="B15" s="244"/>
      <c r="C15" s="244"/>
      <c r="D15" s="244"/>
      <c r="E15" s="244"/>
      <c r="F15" s="244"/>
      <c r="G15" s="244"/>
      <c r="H15" s="244"/>
      <c r="I15" s="239"/>
      <c r="J15" s="32"/>
    </row>
    <row r="16" spans="1:13" ht="45.6">
      <c r="A16" s="252" t="s">
        <v>227</v>
      </c>
      <c r="B16" s="30">
        <v>7</v>
      </c>
      <c r="C16" s="30" t="s">
        <v>236</v>
      </c>
      <c r="D16" s="30" t="s">
        <v>213</v>
      </c>
      <c r="E16" s="30" t="s">
        <v>254</v>
      </c>
      <c r="F16" s="183">
        <v>45721</v>
      </c>
      <c r="G16" s="184" t="s">
        <v>283</v>
      </c>
      <c r="H16" s="30" t="s">
        <v>447</v>
      </c>
      <c r="I16" s="30"/>
      <c r="J16" s="32"/>
    </row>
    <row r="17" spans="1:10" ht="45.6">
      <c r="A17" s="251"/>
      <c r="B17" s="30">
        <v>8</v>
      </c>
      <c r="C17" s="30" t="s">
        <v>255</v>
      </c>
      <c r="D17" s="30" t="s">
        <v>213</v>
      </c>
      <c r="E17" s="30" t="s">
        <v>237</v>
      </c>
      <c r="F17" s="183">
        <v>45721</v>
      </c>
      <c r="G17" s="184" t="s">
        <v>304</v>
      </c>
      <c r="H17" s="30" t="s">
        <v>447</v>
      </c>
      <c r="I17" s="30"/>
      <c r="J17" s="32"/>
    </row>
    <row r="18" spans="1:10" ht="22.8">
      <c r="A18" s="299"/>
      <c r="B18" s="232"/>
      <c r="C18" s="232"/>
      <c r="D18" s="232"/>
      <c r="E18" s="232"/>
      <c r="F18" s="232"/>
      <c r="G18" s="232"/>
      <c r="H18" s="232"/>
      <c r="I18" s="233"/>
      <c r="J18" s="32"/>
    </row>
    <row r="19" spans="1:10" ht="68.400000000000006">
      <c r="A19" s="30" t="s">
        <v>232</v>
      </c>
      <c r="B19" s="30">
        <v>9</v>
      </c>
      <c r="C19" s="30" t="s">
        <v>449</v>
      </c>
      <c r="D19" s="30" t="s">
        <v>213</v>
      </c>
      <c r="E19" s="30" t="s">
        <v>450</v>
      </c>
      <c r="F19" s="183">
        <v>45723</v>
      </c>
      <c r="G19" s="184" t="s">
        <v>283</v>
      </c>
      <c r="H19" s="30" t="s">
        <v>447</v>
      </c>
      <c r="I19" s="30"/>
      <c r="J19" s="32"/>
    </row>
    <row r="20" spans="1:10" ht="22.8">
      <c r="A20" s="299"/>
      <c r="B20" s="232"/>
      <c r="C20" s="232"/>
      <c r="D20" s="232"/>
      <c r="E20" s="232"/>
      <c r="F20" s="232"/>
      <c r="G20" s="232"/>
      <c r="H20" s="232"/>
      <c r="I20" s="233"/>
      <c r="J20" s="32"/>
    </row>
    <row r="21" spans="1:10" ht="45.6">
      <c r="A21" s="30" t="s">
        <v>235</v>
      </c>
      <c r="B21" s="30">
        <v>10</v>
      </c>
      <c r="C21" s="30" t="s">
        <v>451</v>
      </c>
      <c r="D21" s="30" t="s">
        <v>213</v>
      </c>
      <c r="E21" s="30" t="s">
        <v>452</v>
      </c>
      <c r="F21" s="183">
        <v>45723</v>
      </c>
      <c r="G21" s="184" t="s">
        <v>304</v>
      </c>
      <c r="H21" s="30" t="s">
        <v>447</v>
      </c>
      <c r="I21" s="30"/>
      <c r="J21" s="32"/>
    </row>
    <row r="22" spans="1:10" ht="33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30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8"/>
    <mergeCell ref="A15:I15"/>
    <mergeCell ref="A16:A17"/>
    <mergeCell ref="A18:I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Q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12.33203125" customWidth="1"/>
    <col min="2" max="2" width="10.44140625" customWidth="1"/>
    <col min="3" max="3" width="10.6640625" customWidth="1"/>
    <col min="4" max="4" width="10.21875" customWidth="1"/>
    <col min="5" max="5" width="9.109375" customWidth="1"/>
    <col min="6" max="6" width="9.33203125" customWidth="1"/>
    <col min="7" max="7" width="9.6640625" customWidth="1"/>
    <col min="8" max="8" width="16.109375" customWidth="1"/>
    <col min="9" max="9" width="0.33203125" customWidth="1"/>
    <col min="10" max="10" width="13.44140625" customWidth="1"/>
    <col min="11" max="12" width="10.21875" customWidth="1"/>
    <col min="13" max="13" width="10.33203125" customWidth="1"/>
    <col min="14" max="14" width="9" customWidth="1"/>
    <col min="15" max="15" width="9.33203125" customWidth="1"/>
    <col min="16" max="16" width="9.44140625" customWidth="1"/>
    <col min="17" max="17" width="16.33203125" customWidth="1"/>
  </cols>
  <sheetData>
    <row r="1" spans="1:17" ht="40.5" customHeight="1">
      <c r="A1" s="275" t="s">
        <v>51</v>
      </c>
      <c r="B1" s="232"/>
      <c r="C1" s="232"/>
      <c r="D1" s="232"/>
      <c r="E1" s="232"/>
      <c r="F1" s="232"/>
      <c r="G1" s="232"/>
      <c r="H1" s="233"/>
      <c r="I1" s="62"/>
      <c r="J1" s="276" t="s">
        <v>52</v>
      </c>
      <c r="K1" s="232"/>
      <c r="L1" s="232"/>
      <c r="M1" s="232"/>
      <c r="N1" s="232"/>
      <c r="O1" s="232"/>
      <c r="P1" s="232"/>
      <c r="Q1" s="233"/>
    </row>
    <row r="2" spans="1:17" ht="63.75" customHeight="1">
      <c r="A2" s="30" t="s">
        <v>239</v>
      </c>
      <c r="B2" s="30" t="s">
        <v>440</v>
      </c>
      <c r="C2" s="30" t="s">
        <v>441</v>
      </c>
      <c r="D2" s="30" t="s">
        <v>442</v>
      </c>
      <c r="E2" s="30" t="s">
        <v>314</v>
      </c>
      <c r="F2" s="30" t="s">
        <v>443</v>
      </c>
      <c r="G2" s="30" t="s">
        <v>444</v>
      </c>
      <c r="H2" s="100" t="s">
        <v>445</v>
      </c>
      <c r="I2" s="105"/>
      <c r="J2" s="101" t="s">
        <v>239</v>
      </c>
      <c r="K2" s="30" t="s">
        <v>440</v>
      </c>
      <c r="L2" s="30" t="s">
        <v>441</v>
      </c>
      <c r="M2" s="30" t="s">
        <v>442</v>
      </c>
      <c r="N2" s="30" t="s">
        <v>314</v>
      </c>
      <c r="O2" s="30" t="s">
        <v>443</v>
      </c>
      <c r="P2" s="30" t="s">
        <v>444</v>
      </c>
      <c r="Q2" s="30" t="s">
        <v>445</v>
      </c>
    </row>
    <row r="3" spans="1:17" ht="33" customHeight="1">
      <c r="A3" s="151" t="s">
        <v>373</v>
      </c>
      <c r="B3" s="161">
        <v>2</v>
      </c>
      <c r="C3" s="161">
        <v>2</v>
      </c>
      <c r="D3" s="161">
        <v>0</v>
      </c>
      <c r="E3" s="161">
        <v>4</v>
      </c>
      <c r="F3" s="161">
        <v>4</v>
      </c>
      <c r="G3" s="161">
        <v>0</v>
      </c>
      <c r="H3" s="185">
        <v>4</v>
      </c>
      <c r="I3" s="105"/>
      <c r="J3" s="15" t="s">
        <v>414</v>
      </c>
      <c r="K3" s="161">
        <v>2</v>
      </c>
      <c r="L3" s="161">
        <v>0</v>
      </c>
      <c r="M3" s="161">
        <v>2</v>
      </c>
      <c r="N3" s="161">
        <v>0</v>
      </c>
      <c r="O3" s="161">
        <v>1</v>
      </c>
      <c r="P3" s="161">
        <v>4</v>
      </c>
      <c r="Q3" s="161">
        <v>-3</v>
      </c>
    </row>
    <row r="4" spans="1:17" ht="31.5" customHeight="1">
      <c r="A4" s="15" t="s">
        <v>293</v>
      </c>
      <c r="B4" s="161">
        <v>2</v>
      </c>
      <c r="C4" s="161">
        <v>0</v>
      </c>
      <c r="D4" s="161">
        <v>2</v>
      </c>
      <c r="E4" s="161">
        <v>0</v>
      </c>
      <c r="F4" s="161">
        <v>0</v>
      </c>
      <c r="G4" s="161">
        <v>4</v>
      </c>
      <c r="H4" s="185">
        <v>-4</v>
      </c>
      <c r="I4" s="105"/>
      <c r="J4" s="151" t="s">
        <v>413</v>
      </c>
      <c r="K4" s="161">
        <v>2</v>
      </c>
      <c r="L4" s="161">
        <v>1</v>
      </c>
      <c r="M4" s="161">
        <v>1</v>
      </c>
      <c r="N4" s="161">
        <v>2</v>
      </c>
      <c r="O4" s="161">
        <v>3</v>
      </c>
      <c r="P4" s="161">
        <v>3</v>
      </c>
      <c r="Q4" s="161">
        <v>0</v>
      </c>
    </row>
    <row r="5" spans="1:17" ht="33" customHeight="1">
      <c r="A5" s="151" t="s">
        <v>289</v>
      </c>
      <c r="B5" s="161">
        <v>2</v>
      </c>
      <c r="C5" s="38">
        <v>1</v>
      </c>
      <c r="D5" s="38">
        <v>1</v>
      </c>
      <c r="E5" s="38">
        <v>2</v>
      </c>
      <c r="F5" s="38">
        <v>2</v>
      </c>
      <c r="G5" s="38">
        <v>2</v>
      </c>
      <c r="H5" s="96">
        <v>0</v>
      </c>
      <c r="I5" s="105"/>
      <c r="J5" s="151" t="s">
        <v>415</v>
      </c>
      <c r="K5" s="161">
        <v>2</v>
      </c>
      <c r="L5" s="38">
        <v>2</v>
      </c>
      <c r="M5" s="38">
        <v>0</v>
      </c>
      <c r="N5" s="38">
        <v>4</v>
      </c>
      <c r="O5" s="38">
        <v>4</v>
      </c>
      <c r="P5" s="38">
        <v>1</v>
      </c>
      <c r="Q5" s="38">
        <v>3</v>
      </c>
    </row>
    <row r="6" spans="1:17" ht="33.75" customHeight="1">
      <c r="A6" s="38"/>
      <c r="B6" s="38"/>
      <c r="C6" s="38"/>
      <c r="D6" s="38"/>
      <c r="E6" s="38"/>
      <c r="F6" s="38"/>
      <c r="G6" s="38"/>
      <c r="H6" s="96"/>
      <c r="I6" s="165"/>
      <c r="J6" s="138"/>
      <c r="K6" s="38"/>
      <c r="L6" s="38"/>
      <c r="M6" s="38"/>
      <c r="N6" s="38"/>
      <c r="O6" s="38"/>
      <c r="P6" s="38"/>
      <c r="Q6" s="38"/>
    </row>
    <row r="7" spans="1:17" ht="30" customHeight="1">
      <c r="A7" s="265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</row>
    <row r="8" spans="1:17" ht="15.75" customHeight="1"/>
    <row r="9" spans="1:17" ht="15.75" customHeight="1"/>
    <row r="10" spans="1:17" ht="15.75" customHeight="1"/>
    <row r="11" spans="1:17" ht="15.75" customHeight="1"/>
    <row r="12" spans="1:17" ht="15.75" customHeight="1"/>
    <row r="13" spans="1:17" ht="15.75" customHeight="1"/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J1:Q1"/>
    <mergeCell ref="A7:Q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1000"/>
  <sheetViews>
    <sheetView workbookViewId="0">
      <selection sqref="A1:I1"/>
    </sheetView>
  </sheetViews>
  <sheetFormatPr defaultColWidth="12.6640625" defaultRowHeight="15" customHeight="1"/>
  <cols>
    <col min="1" max="1" width="12.33203125" customWidth="1"/>
    <col min="2" max="2" width="13.33203125" customWidth="1"/>
    <col min="3" max="3" width="26.88671875" customWidth="1"/>
    <col min="4" max="4" width="4.77734375" customWidth="1"/>
    <col min="5" max="5" width="24.88671875" customWidth="1"/>
    <col min="6" max="6" width="24.21875" customWidth="1"/>
    <col min="7" max="7" width="21.44140625" customWidth="1"/>
    <col min="8" max="8" width="27" customWidth="1"/>
    <col min="9" max="9" width="22.109375" customWidth="1"/>
  </cols>
  <sheetData>
    <row r="1" spans="1:13" ht="22.8">
      <c r="A1" s="271" t="s">
        <v>34</v>
      </c>
      <c r="B1" s="232"/>
      <c r="C1" s="232"/>
      <c r="D1" s="232"/>
      <c r="E1" s="232"/>
      <c r="F1" s="232"/>
      <c r="G1" s="232"/>
      <c r="H1" s="232"/>
      <c r="I1" s="233"/>
      <c r="J1" s="32"/>
    </row>
    <row r="2" spans="1:13" ht="61.2">
      <c r="A2" s="30"/>
      <c r="B2" s="27" t="s">
        <v>207</v>
      </c>
      <c r="C2" s="28" t="s">
        <v>208</v>
      </c>
      <c r="D2" s="79" t="s">
        <v>209</v>
      </c>
      <c r="E2" s="80" t="s">
        <v>210</v>
      </c>
      <c r="F2" s="27" t="s">
        <v>80</v>
      </c>
      <c r="G2" s="27" t="s">
        <v>81</v>
      </c>
      <c r="H2" s="27" t="s">
        <v>82</v>
      </c>
      <c r="I2" s="27" t="s">
        <v>211</v>
      </c>
      <c r="J2" s="32"/>
    </row>
    <row r="3" spans="1:13" ht="25.2">
      <c r="A3" s="252" t="s">
        <v>212</v>
      </c>
      <c r="B3" s="81">
        <v>1</v>
      </c>
      <c r="C3" s="82" t="s">
        <v>453</v>
      </c>
      <c r="D3" s="83" t="s">
        <v>213</v>
      </c>
      <c r="E3" s="81" t="s">
        <v>253</v>
      </c>
      <c r="F3" s="84">
        <v>45716</v>
      </c>
      <c r="G3" s="81" t="s">
        <v>257</v>
      </c>
      <c r="H3" s="81" t="s">
        <v>454</v>
      </c>
      <c r="I3" s="93" t="s">
        <v>268</v>
      </c>
      <c r="J3" s="32"/>
    </row>
    <row r="4" spans="1:13" ht="25.2">
      <c r="A4" s="253"/>
      <c r="B4" s="86">
        <v>2</v>
      </c>
      <c r="C4" s="82" t="s">
        <v>278</v>
      </c>
      <c r="D4" s="86" t="s">
        <v>213</v>
      </c>
      <c r="E4" s="86" t="s">
        <v>9</v>
      </c>
      <c r="F4" s="87">
        <v>45716</v>
      </c>
      <c r="G4" s="86" t="s">
        <v>455</v>
      </c>
      <c r="H4" s="86" t="s">
        <v>454</v>
      </c>
      <c r="I4" s="95" t="s">
        <v>268</v>
      </c>
      <c r="J4" s="32"/>
    </row>
    <row r="5" spans="1:13" ht="25.2">
      <c r="A5" s="253"/>
      <c r="B5" s="81">
        <v>3</v>
      </c>
      <c r="C5" s="81" t="s">
        <v>253</v>
      </c>
      <c r="D5" s="81" t="s">
        <v>213</v>
      </c>
      <c r="E5" s="82" t="s">
        <v>254</v>
      </c>
      <c r="F5" s="84">
        <v>45717</v>
      </c>
      <c r="G5" s="81" t="s">
        <v>456</v>
      </c>
      <c r="H5" s="81" t="s">
        <v>454</v>
      </c>
      <c r="I5" s="93" t="s">
        <v>258</v>
      </c>
      <c r="J5" s="32"/>
    </row>
    <row r="6" spans="1:13" ht="25.2">
      <c r="A6" s="253"/>
      <c r="B6" s="86">
        <v>4</v>
      </c>
      <c r="C6" s="82" t="s">
        <v>1</v>
      </c>
      <c r="D6" s="86" t="s">
        <v>213</v>
      </c>
      <c r="E6" s="86" t="s">
        <v>237</v>
      </c>
      <c r="F6" s="87">
        <v>45717</v>
      </c>
      <c r="G6" s="86" t="s">
        <v>446</v>
      </c>
      <c r="H6" s="86" t="s">
        <v>454</v>
      </c>
      <c r="I6" s="95" t="s">
        <v>268</v>
      </c>
      <c r="J6" s="32"/>
    </row>
    <row r="7" spans="1:13" ht="25.2">
      <c r="A7" s="253"/>
      <c r="B7" s="81">
        <v>5</v>
      </c>
      <c r="C7" s="82" t="s">
        <v>453</v>
      </c>
      <c r="D7" s="81" t="s">
        <v>213</v>
      </c>
      <c r="E7" s="81" t="s">
        <v>233</v>
      </c>
      <c r="F7" s="84">
        <v>45717</v>
      </c>
      <c r="G7" s="81" t="s">
        <v>393</v>
      </c>
      <c r="H7" s="81" t="s">
        <v>454</v>
      </c>
      <c r="I7" s="92">
        <v>45689</v>
      </c>
      <c r="J7" s="32"/>
      <c r="L7" s="131" t="s">
        <v>372</v>
      </c>
      <c r="M7" s="131" t="s">
        <v>377</v>
      </c>
    </row>
    <row r="8" spans="1:13" ht="25.2">
      <c r="A8" s="253"/>
      <c r="B8" s="86">
        <v>6</v>
      </c>
      <c r="C8" s="82" t="s">
        <v>197</v>
      </c>
      <c r="D8" s="81" t="s">
        <v>213</v>
      </c>
      <c r="E8" s="81" t="s">
        <v>253</v>
      </c>
      <c r="F8" s="84">
        <v>45718</v>
      </c>
      <c r="G8" s="81" t="s">
        <v>446</v>
      </c>
      <c r="H8" s="81" t="s">
        <v>454</v>
      </c>
      <c r="I8" s="93" t="s">
        <v>268</v>
      </c>
      <c r="J8" s="32"/>
      <c r="L8" s="131" t="s">
        <v>376</v>
      </c>
      <c r="M8" s="131" t="s">
        <v>373</v>
      </c>
    </row>
    <row r="9" spans="1:13" ht="25.2">
      <c r="A9" s="253"/>
      <c r="B9" s="81">
        <v>7</v>
      </c>
      <c r="C9" s="86" t="s">
        <v>9</v>
      </c>
      <c r="D9" s="86" t="s">
        <v>213</v>
      </c>
      <c r="E9" s="82" t="s">
        <v>237</v>
      </c>
      <c r="F9" s="87">
        <v>45718</v>
      </c>
      <c r="G9" s="86" t="s">
        <v>393</v>
      </c>
      <c r="H9" s="86" t="s">
        <v>454</v>
      </c>
      <c r="I9" s="95" t="s">
        <v>258</v>
      </c>
      <c r="J9" s="32"/>
    </row>
    <row r="10" spans="1:13" ht="25.2">
      <c r="A10" s="253"/>
      <c r="B10" s="86">
        <v>8</v>
      </c>
      <c r="C10" s="82" t="s">
        <v>197</v>
      </c>
      <c r="D10" s="81" t="s">
        <v>213</v>
      </c>
      <c r="E10" s="82" t="s">
        <v>254</v>
      </c>
      <c r="F10" s="84">
        <v>45719</v>
      </c>
      <c r="G10" s="81" t="s">
        <v>300</v>
      </c>
      <c r="H10" s="81" t="s">
        <v>454</v>
      </c>
      <c r="I10" s="93" t="s">
        <v>268</v>
      </c>
      <c r="J10" s="32"/>
    </row>
    <row r="11" spans="1:13" ht="25.2">
      <c r="A11" s="253"/>
      <c r="B11" s="81">
        <v>9</v>
      </c>
      <c r="C11" s="82" t="s">
        <v>278</v>
      </c>
      <c r="D11" s="86" t="s">
        <v>213</v>
      </c>
      <c r="E11" s="86" t="s">
        <v>237</v>
      </c>
      <c r="F11" s="87">
        <v>45720</v>
      </c>
      <c r="G11" s="86" t="s">
        <v>300</v>
      </c>
      <c r="H11" s="86" t="s">
        <v>454</v>
      </c>
      <c r="I11" s="95" t="s">
        <v>268</v>
      </c>
      <c r="J11" s="32"/>
    </row>
    <row r="12" spans="1:13" ht="25.2">
      <c r="A12" s="253"/>
      <c r="B12" s="86">
        <v>10</v>
      </c>
      <c r="C12" s="86" t="s">
        <v>278</v>
      </c>
      <c r="D12" s="86" t="s">
        <v>213</v>
      </c>
      <c r="E12" s="86" t="s">
        <v>1</v>
      </c>
      <c r="F12" s="87">
        <v>45721</v>
      </c>
      <c r="G12" s="86" t="s">
        <v>457</v>
      </c>
      <c r="H12" s="86" t="s">
        <v>454</v>
      </c>
      <c r="I12" s="95"/>
      <c r="J12" s="32"/>
    </row>
    <row r="13" spans="1:13" ht="25.2">
      <c r="A13" s="253"/>
      <c r="B13" s="81">
        <v>11</v>
      </c>
      <c r="C13" s="81" t="s">
        <v>453</v>
      </c>
      <c r="D13" s="81" t="s">
        <v>213</v>
      </c>
      <c r="E13" s="81" t="s">
        <v>254</v>
      </c>
      <c r="F13" s="84">
        <v>45722</v>
      </c>
      <c r="G13" s="81" t="s">
        <v>257</v>
      </c>
      <c r="H13" s="81" t="s">
        <v>454</v>
      </c>
      <c r="I13" s="93"/>
      <c r="J13" s="32"/>
    </row>
    <row r="14" spans="1:13" ht="25.2">
      <c r="A14" s="251"/>
      <c r="B14" s="86">
        <v>12</v>
      </c>
      <c r="C14" s="86" t="s">
        <v>1</v>
      </c>
      <c r="D14" s="86" t="s">
        <v>213</v>
      </c>
      <c r="E14" s="86" t="s">
        <v>9</v>
      </c>
      <c r="F14" s="87">
        <v>45722</v>
      </c>
      <c r="G14" s="86" t="s">
        <v>458</v>
      </c>
      <c r="H14" s="86" t="s">
        <v>454</v>
      </c>
      <c r="I14" s="95"/>
      <c r="J14" s="32"/>
    </row>
    <row r="15" spans="1:13" ht="22.8">
      <c r="A15" s="299"/>
      <c r="B15" s="232"/>
      <c r="C15" s="232"/>
      <c r="D15" s="232"/>
      <c r="E15" s="232"/>
      <c r="F15" s="232"/>
      <c r="G15" s="232"/>
      <c r="H15" s="232"/>
      <c r="I15" s="233"/>
      <c r="J15" s="32"/>
    </row>
    <row r="16" spans="1:13" ht="22.8">
      <c r="A16" s="252" t="s">
        <v>227</v>
      </c>
      <c r="B16" s="30">
        <v>13</v>
      </c>
      <c r="C16" s="30" t="s">
        <v>459</v>
      </c>
      <c r="D16" s="30" t="s">
        <v>213</v>
      </c>
      <c r="E16" s="30" t="s">
        <v>460</v>
      </c>
      <c r="F16" s="198">
        <v>45723</v>
      </c>
      <c r="G16" s="144" t="s">
        <v>300</v>
      </c>
      <c r="H16" s="30" t="s">
        <v>454</v>
      </c>
      <c r="I16" s="30"/>
      <c r="J16" s="32"/>
    </row>
    <row r="17" spans="1:10" ht="22.8">
      <c r="A17" s="251"/>
      <c r="B17" s="30">
        <v>14</v>
      </c>
      <c r="C17" s="30" t="s">
        <v>461</v>
      </c>
      <c r="D17" s="30" t="s">
        <v>213</v>
      </c>
      <c r="E17" s="30" t="s">
        <v>381</v>
      </c>
      <c r="F17" s="198">
        <v>45723</v>
      </c>
      <c r="G17" s="144" t="s">
        <v>462</v>
      </c>
      <c r="H17" s="30" t="s">
        <v>454</v>
      </c>
      <c r="I17" s="30"/>
      <c r="J17" s="32"/>
    </row>
    <row r="18" spans="1:10" ht="22.8">
      <c r="A18" s="299"/>
      <c r="B18" s="232"/>
      <c r="C18" s="232"/>
      <c r="D18" s="232"/>
      <c r="E18" s="232"/>
      <c r="F18" s="232"/>
      <c r="G18" s="232"/>
      <c r="H18" s="232"/>
      <c r="I18" s="233"/>
      <c r="J18" s="32"/>
    </row>
    <row r="19" spans="1:10" ht="45.6">
      <c r="A19" s="30" t="s">
        <v>232</v>
      </c>
      <c r="B19" s="30">
        <v>15</v>
      </c>
      <c r="C19" s="82" t="s">
        <v>415</v>
      </c>
      <c r="D19" s="30" t="s">
        <v>213</v>
      </c>
      <c r="E19" s="30" t="s">
        <v>414</v>
      </c>
      <c r="F19" s="31">
        <v>45724</v>
      </c>
      <c r="G19" s="30" t="s">
        <v>463</v>
      </c>
      <c r="H19" s="30" t="s">
        <v>454</v>
      </c>
      <c r="I19" s="30"/>
      <c r="J19" s="32"/>
    </row>
    <row r="20" spans="1:10" ht="22.8">
      <c r="A20" s="299"/>
      <c r="B20" s="232"/>
      <c r="C20" s="232"/>
      <c r="D20" s="232"/>
      <c r="E20" s="232"/>
      <c r="F20" s="232"/>
      <c r="G20" s="232"/>
      <c r="H20" s="232"/>
      <c r="I20" s="233"/>
      <c r="J20" s="32"/>
    </row>
    <row r="21" spans="1:10" ht="22.8">
      <c r="A21" s="30" t="s">
        <v>235</v>
      </c>
      <c r="B21" s="30">
        <v>16</v>
      </c>
      <c r="C21" s="82" t="s">
        <v>377</v>
      </c>
      <c r="D21" s="30" t="s">
        <v>213</v>
      </c>
      <c r="E21" s="30" t="s">
        <v>373</v>
      </c>
      <c r="F21" s="31">
        <v>45724</v>
      </c>
      <c r="G21" s="30" t="s">
        <v>464</v>
      </c>
      <c r="H21" s="30" t="s">
        <v>454</v>
      </c>
      <c r="I21" s="30"/>
      <c r="J21" s="32"/>
    </row>
    <row r="22" spans="1:10" ht="33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30.75" customHeight="1">
      <c r="A23" s="32"/>
      <c r="B23" s="32"/>
      <c r="J23" s="32"/>
    </row>
    <row r="24" spans="1:10" ht="32.25" customHeight="1">
      <c r="A24" s="32"/>
      <c r="B24" s="32"/>
      <c r="D24" s="32"/>
      <c r="F24" s="32"/>
      <c r="G24" s="32"/>
      <c r="H24" s="32"/>
      <c r="I24" s="32"/>
      <c r="J24" s="32"/>
    </row>
    <row r="25" spans="1:10" ht="31.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75" customHeight="1">
      <c r="C26" s="81"/>
      <c r="D26" s="83"/>
      <c r="E26" s="81"/>
    </row>
    <row r="27" spans="1:10" ht="15.75" customHeight="1">
      <c r="C27" s="81"/>
      <c r="D27" s="81"/>
      <c r="E27" s="81"/>
    </row>
    <row r="28" spans="1:10" ht="15.75" customHeight="1">
      <c r="C28" s="86"/>
      <c r="D28" s="86"/>
      <c r="E28" s="86"/>
    </row>
    <row r="29" spans="1:10" ht="15.75" customHeight="1">
      <c r="C29" s="86"/>
      <c r="D29" s="86"/>
      <c r="E29" s="86"/>
    </row>
    <row r="30" spans="1:10" ht="15.75" customHeight="1"/>
    <row r="31" spans="1:10" ht="15.75" customHeight="1"/>
    <row r="32" spans="1:10" ht="15.75" customHeight="1"/>
    <row r="33" spans="3:5" ht="15.75" customHeight="1"/>
    <row r="34" spans="3:5" ht="15.75" customHeight="1"/>
    <row r="35" spans="3:5" ht="15.75" customHeight="1"/>
    <row r="36" spans="3:5" ht="15.75" customHeight="1"/>
    <row r="37" spans="3:5" ht="15.75" customHeight="1">
      <c r="C37" s="86"/>
      <c r="D37" s="86"/>
      <c r="E37" s="86"/>
    </row>
    <row r="38" spans="3:5" ht="15.75" customHeight="1"/>
    <row r="39" spans="3:5" ht="15.75" customHeight="1"/>
    <row r="40" spans="3:5" ht="15.75" customHeight="1"/>
    <row r="41" spans="3:5" ht="15.75" customHeight="1"/>
    <row r="42" spans="3:5" ht="15.75" customHeight="1"/>
    <row r="43" spans="3:5" ht="15.75" customHeight="1"/>
    <row r="44" spans="3:5" ht="15.75" customHeight="1"/>
    <row r="45" spans="3:5" ht="15.75" customHeight="1"/>
    <row r="46" spans="3:5" ht="15.75" customHeight="1"/>
    <row r="47" spans="3:5" ht="15.75" customHeight="1"/>
    <row r="48" spans="3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14"/>
    <mergeCell ref="A15:I15"/>
    <mergeCell ref="A16:A17"/>
    <mergeCell ref="A18:I1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S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13.109375" customWidth="1"/>
    <col min="2" max="2" width="10.44140625" customWidth="1"/>
    <col min="3" max="3" width="10.33203125" customWidth="1"/>
    <col min="4" max="4" width="10.21875" customWidth="1"/>
    <col min="5" max="5" width="9.109375" customWidth="1"/>
    <col min="6" max="6" width="13.88671875" customWidth="1"/>
    <col min="7" max="7" width="14.109375" customWidth="1"/>
    <col min="8" max="8" width="11.88671875" customWidth="1"/>
    <col min="9" max="9" width="13.33203125" customWidth="1"/>
    <col min="10" max="10" width="4.88671875" customWidth="1"/>
    <col min="11" max="11" width="13.77734375" customWidth="1"/>
    <col min="12" max="13" width="10.21875" customWidth="1"/>
    <col min="14" max="14" width="10.33203125" customWidth="1"/>
    <col min="15" max="15" width="8.88671875" customWidth="1"/>
    <col min="16" max="16" width="13.33203125" customWidth="1"/>
    <col min="17" max="17" width="13.6640625" customWidth="1"/>
    <col min="18" max="18" width="11.77734375" customWidth="1"/>
    <col min="19" max="19" width="14.109375" customWidth="1"/>
  </cols>
  <sheetData>
    <row r="1" spans="1:19" ht="40.5" customHeight="1">
      <c r="A1" s="275" t="s">
        <v>51</v>
      </c>
      <c r="B1" s="232"/>
      <c r="C1" s="232"/>
      <c r="D1" s="232"/>
      <c r="E1" s="232"/>
      <c r="F1" s="232"/>
      <c r="G1" s="232"/>
      <c r="H1" s="232"/>
      <c r="I1" s="233"/>
      <c r="J1" s="62"/>
      <c r="K1" s="276" t="s">
        <v>52</v>
      </c>
      <c r="L1" s="232"/>
      <c r="M1" s="232"/>
      <c r="N1" s="232"/>
      <c r="O1" s="232"/>
      <c r="P1" s="232"/>
      <c r="Q1" s="232"/>
      <c r="R1" s="232"/>
      <c r="S1" s="233"/>
    </row>
    <row r="2" spans="1:19" ht="63.75" customHeight="1">
      <c r="A2" s="30" t="s">
        <v>239</v>
      </c>
      <c r="B2" s="30" t="s">
        <v>440</v>
      </c>
      <c r="C2" s="30" t="s">
        <v>441</v>
      </c>
      <c r="D2" s="30" t="s">
        <v>442</v>
      </c>
      <c r="E2" s="30" t="s">
        <v>314</v>
      </c>
      <c r="F2" s="30" t="s">
        <v>465</v>
      </c>
      <c r="G2" s="30" t="s">
        <v>466</v>
      </c>
      <c r="H2" s="30" t="s">
        <v>467</v>
      </c>
      <c r="I2" s="100" t="s">
        <v>468</v>
      </c>
      <c r="J2" s="105"/>
      <c r="K2" s="30" t="s">
        <v>239</v>
      </c>
      <c r="L2" s="30" t="s">
        <v>440</v>
      </c>
      <c r="M2" s="30" t="s">
        <v>441</v>
      </c>
      <c r="N2" s="30" t="s">
        <v>442</v>
      </c>
      <c r="O2" s="30" t="s">
        <v>314</v>
      </c>
      <c r="P2" s="30" t="s">
        <v>465</v>
      </c>
      <c r="Q2" s="30" t="s">
        <v>466</v>
      </c>
      <c r="R2" s="30" t="s">
        <v>467</v>
      </c>
      <c r="S2" s="100" t="s">
        <v>468</v>
      </c>
    </row>
    <row r="3" spans="1:19" ht="35.25" customHeight="1">
      <c r="A3" s="15" t="s">
        <v>415</v>
      </c>
      <c r="B3" s="135">
        <v>3</v>
      </c>
      <c r="C3" s="135">
        <v>2</v>
      </c>
      <c r="D3" s="135">
        <v>1</v>
      </c>
      <c r="E3" s="199">
        <v>7</v>
      </c>
      <c r="F3" s="199">
        <v>2</v>
      </c>
      <c r="G3" s="199">
        <v>0</v>
      </c>
      <c r="H3" s="199">
        <v>1</v>
      </c>
      <c r="I3" s="200">
        <v>0</v>
      </c>
      <c r="J3" s="105"/>
      <c r="K3" s="17" t="s">
        <v>377</v>
      </c>
      <c r="L3" s="199">
        <v>2</v>
      </c>
      <c r="M3" s="199">
        <v>2</v>
      </c>
      <c r="N3" s="135">
        <v>0</v>
      </c>
      <c r="O3" s="199">
        <v>6</v>
      </c>
      <c r="P3" s="135">
        <v>2</v>
      </c>
      <c r="Q3" s="199">
        <v>0</v>
      </c>
      <c r="R3" s="135">
        <v>0</v>
      </c>
      <c r="S3" s="199">
        <v>0</v>
      </c>
    </row>
    <row r="4" spans="1:19" ht="33" customHeight="1">
      <c r="A4" s="15" t="s">
        <v>293</v>
      </c>
      <c r="B4" s="135">
        <v>3</v>
      </c>
      <c r="C4" s="135">
        <v>0</v>
      </c>
      <c r="D4" s="135">
        <v>3</v>
      </c>
      <c r="E4" s="135">
        <v>0</v>
      </c>
      <c r="F4" s="135">
        <v>0</v>
      </c>
      <c r="G4" s="199">
        <v>0</v>
      </c>
      <c r="H4" s="199">
        <v>0</v>
      </c>
      <c r="I4" s="200">
        <v>3</v>
      </c>
      <c r="J4" s="105"/>
      <c r="K4" s="78" t="s">
        <v>416</v>
      </c>
      <c r="L4" s="135">
        <v>2</v>
      </c>
      <c r="M4" s="135">
        <v>0</v>
      </c>
      <c r="N4" s="135">
        <v>2</v>
      </c>
      <c r="O4" s="135">
        <v>0</v>
      </c>
      <c r="P4" s="135">
        <v>0</v>
      </c>
      <c r="Q4" s="199">
        <v>0</v>
      </c>
      <c r="R4" s="135">
        <v>0</v>
      </c>
      <c r="S4" s="201">
        <v>2</v>
      </c>
    </row>
    <row r="5" spans="1:19" ht="33.75" customHeight="1">
      <c r="A5" s="15" t="s">
        <v>373</v>
      </c>
      <c r="B5" s="38">
        <v>2</v>
      </c>
      <c r="C5" s="38">
        <v>2</v>
      </c>
      <c r="D5" s="38">
        <v>0</v>
      </c>
      <c r="E5" s="24">
        <v>5</v>
      </c>
      <c r="F5" s="24">
        <v>1</v>
      </c>
      <c r="G5" s="24">
        <v>1</v>
      </c>
      <c r="H5" s="24">
        <v>0</v>
      </c>
      <c r="I5" s="164">
        <v>0</v>
      </c>
      <c r="J5" s="105"/>
      <c r="K5" s="15" t="s">
        <v>414</v>
      </c>
      <c r="L5" s="24">
        <v>1</v>
      </c>
      <c r="M5" s="38">
        <v>1</v>
      </c>
      <c r="N5" s="38">
        <v>0</v>
      </c>
      <c r="O5" s="38">
        <v>2</v>
      </c>
      <c r="P5" s="24">
        <v>1</v>
      </c>
      <c r="Q5" s="199">
        <v>0</v>
      </c>
      <c r="R5" s="135">
        <v>0</v>
      </c>
      <c r="S5" s="199">
        <v>0</v>
      </c>
    </row>
    <row r="6" spans="1:19" ht="33" customHeight="1">
      <c r="A6" s="17" t="s">
        <v>413</v>
      </c>
      <c r="B6" s="38">
        <v>2</v>
      </c>
      <c r="C6" s="38">
        <v>1</v>
      </c>
      <c r="D6" s="38">
        <v>1</v>
      </c>
      <c r="E6" s="24">
        <v>3</v>
      </c>
      <c r="F6" s="24">
        <v>1</v>
      </c>
      <c r="G6" s="24">
        <v>0</v>
      </c>
      <c r="H6" s="24">
        <v>0</v>
      </c>
      <c r="I6" s="164">
        <v>1</v>
      </c>
      <c r="J6" s="165"/>
      <c r="K6" s="17" t="s">
        <v>289</v>
      </c>
      <c r="L6" s="24">
        <v>3</v>
      </c>
      <c r="M6" s="38">
        <v>1</v>
      </c>
      <c r="N6" s="24">
        <v>2</v>
      </c>
      <c r="O6" s="24">
        <v>3</v>
      </c>
      <c r="P6" s="24">
        <v>1</v>
      </c>
      <c r="Q6" s="199">
        <v>0</v>
      </c>
      <c r="R6" s="135">
        <v>0</v>
      </c>
      <c r="S6" s="199">
        <v>2</v>
      </c>
    </row>
    <row r="7" spans="1:19" ht="30" customHeight="1">
      <c r="A7" s="265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</row>
    <row r="8" spans="1:19" ht="15.75" customHeight="1"/>
    <row r="9" spans="1:19" ht="15.75" customHeight="1"/>
    <row r="10" spans="1:19" ht="15.75" customHeight="1"/>
    <row r="11" spans="1:19" ht="15.75" customHeight="1"/>
    <row r="12" spans="1:19" ht="15.75" customHeight="1"/>
    <row r="13" spans="1:19" ht="15.75" customHeight="1"/>
    <row r="14" spans="1:19" ht="15.75" customHeight="1"/>
    <row r="15" spans="1:19" ht="15.75" customHeight="1"/>
    <row r="16" spans="1:1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K1:S1"/>
    <mergeCell ref="A7:S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K1000"/>
  <sheetViews>
    <sheetView tabSelected="1" workbookViewId="0">
      <selection activeCell="F11" sqref="F11"/>
    </sheetView>
  </sheetViews>
  <sheetFormatPr defaultColWidth="12.6640625" defaultRowHeight="15" customHeight="1"/>
  <cols>
    <col min="1" max="1" width="11.21875" customWidth="1"/>
    <col min="2" max="2" width="13.77734375" customWidth="1"/>
    <col min="3" max="3" width="27.33203125" customWidth="1"/>
    <col min="4" max="4" width="3.44140625" customWidth="1"/>
    <col min="5" max="5" width="24.21875" customWidth="1"/>
    <col min="6" max="6" width="24.44140625" customWidth="1"/>
    <col min="7" max="7" width="24" customWidth="1"/>
    <col min="8" max="8" width="28.33203125" customWidth="1"/>
    <col min="9" max="9" width="19.88671875" customWidth="1"/>
  </cols>
  <sheetData>
    <row r="1" spans="1:11" ht="22.8">
      <c r="A1" s="271" t="s">
        <v>35</v>
      </c>
      <c r="B1" s="232"/>
      <c r="C1" s="232"/>
      <c r="D1" s="232"/>
      <c r="E1" s="232"/>
      <c r="F1" s="232"/>
      <c r="G1" s="232"/>
      <c r="H1" s="232"/>
      <c r="I1" s="233"/>
      <c r="J1" s="32"/>
    </row>
    <row r="2" spans="1:11" ht="61.2">
      <c r="A2" s="29"/>
      <c r="B2" s="35" t="s">
        <v>207</v>
      </c>
      <c r="C2" s="202" t="s">
        <v>208</v>
      </c>
      <c r="D2" s="188" t="s">
        <v>209</v>
      </c>
      <c r="E2" s="203" t="s">
        <v>210</v>
      </c>
      <c r="F2" s="35" t="s">
        <v>80</v>
      </c>
      <c r="G2" s="35" t="s">
        <v>81</v>
      </c>
      <c r="H2" s="35" t="s">
        <v>82</v>
      </c>
      <c r="I2" s="35" t="s">
        <v>211</v>
      </c>
      <c r="J2" s="32"/>
    </row>
    <row r="3" spans="1:11" ht="25.2">
      <c r="A3" s="273" t="s">
        <v>212</v>
      </c>
      <c r="B3" s="192">
        <v>1</v>
      </c>
      <c r="C3" s="190" t="s">
        <v>15</v>
      </c>
      <c r="D3" s="192" t="s">
        <v>213</v>
      </c>
      <c r="E3" s="192" t="s">
        <v>236</v>
      </c>
      <c r="F3" s="191">
        <v>45717</v>
      </c>
      <c r="G3" s="192" t="s">
        <v>469</v>
      </c>
      <c r="H3" s="192" t="s">
        <v>454</v>
      </c>
      <c r="I3" s="204" t="s">
        <v>268</v>
      </c>
      <c r="J3" s="32"/>
    </row>
    <row r="4" spans="1:11" ht="25.2">
      <c r="A4" s="303"/>
      <c r="B4" s="189">
        <v>2</v>
      </c>
      <c r="C4" s="190" t="s">
        <v>197</v>
      </c>
      <c r="D4" s="189" t="s">
        <v>213</v>
      </c>
      <c r="E4" s="189" t="s">
        <v>7</v>
      </c>
      <c r="F4" s="194">
        <v>45717</v>
      </c>
      <c r="G4" s="189" t="s">
        <v>470</v>
      </c>
      <c r="H4" s="189" t="s">
        <v>454</v>
      </c>
      <c r="I4" s="205" t="s">
        <v>268</v>
      </c>
      <c r="J4" s="32"/>
      <c r="K4" s="89"/>
    </row>
    <row r="5" spans="1:11" ht="25.2">
      <c r="A5" s="303"/>
      <c r="B5" s="189">
        <v>3</v>
      </c>
      <c r="C5" s="190" t="s">
        <v>197</v>
      </c>
      <c r="D5" s="189" t="s">
        <v>213</v>
      </c>
      <c r="E5" s="189" t="s">
        <v>277</v>
      </c>
      <c r="F5" s="194">
        <v>45718</v>
      </c>
      <c r="G5" s="189" t="s">
        <v>469</v>
      </c>
      <c r="H5" s="189" t="s">
        <v>454</v>
      </c>
      <c r="I5" s="205" t="s">
        <v>268</v>
      </c>
      <c r="J5" s="32"/>
    </row>
    <row r="6" spans="1:11" ht="25.2">
      <c r="A6" s="303"/>
      <c r="B6" s="192">
        <v>4</v>
      </c>
      <c r="C6" s="190" t="s">
        <v>15</v>
      </c>
      <c r="D6" s="192" t="s">
        <v>213</v>
      </c>
      <c r="E6" s="192" t="s">
        <v>1</v>
      </c>
      <c r="F6" s="191">
        <v>45718</v>
      </c>
      <c r="G6" s="192" t="s">
        <v>470</v>
      </c>
      <c r="H6" s="192" t="s">
        <v>454</v>
      </c>
      <c r="I6" s="204" t="s">
        <v>268</v>
      </c>
      <c r="J6" s="32"/>
    </row>
    <row r="7" spans="1:11" ht="25.2">
      <c r="A7" s="303"/>
      <c r="B7" s="189">
        <v>5</v>
      </c>
      <c r="C7" s="189" t="s">
        <v>277</v>
      </c>
      <c r="D7" s="189" t="s">
        <v>213</v>
      </c>
      <c r="E7" s="190" t="s">
        <v>7</v>
      </c>
      <c r="F7" s="194">
        <v>45719</v>
      </c>
      <c r="G7" s="189" t="s">
        <v>469</v>
      </c>
      <c r="H7" s="189" t="s">
        <v>454</v>
      </c>
      <c r="I7" s="206">
        <v>45659</v>
      </c>
      <c r="J7" s="32"/>
    </row>
    <row r="8" spans="1:11" ht="25.2">
      <c r="A8" s="274"/>
      <c r="B8" s="192">
        <v>6</v>
      </c>
      <c r="C8" s="190" t="s">
        <v>236</v>
      </c>
      <c r="D8" s="192" t="s">
        <v>213</v>
      </c>
      <c r="E8" s="192" t="s">
        <v>1</v>
      </c>
      <c r="F8" s="191">
        <v>45720</v>
      </c>
      <c r="G8" s="192" t="s">
        <v>469</v>
      </c>
      <c r="H8" s="192" t="s">
        <v>454</v>
      </c>
      <c r="I8" s="204" t="s">
        <v>268</v>
      </c>
      <c r="J8" s="32"/>
    </row>
    <row r="9" spans="1:11" ht="22.8">
      <c r="A9" s="32"/>
      <c r="B9" s="89"/>
      <c r="C9" s="89"/>
      <c r="D9" s="89"/>
      <c r="E9" s="89"/>
      <c r="F9" s="89"/>
      <c r="G9" s="89"/>
      <c r="H9" s="89"/>
      <c r="I9" s="89"/>
      <c r="J9" s="32"/>
    </row>
    <row r="10" spans="1:11" ht="22.8">
      <c r="A10" s="32"/>
      <c r="B10" s="89"/>
      <c r="C10" s="89"/>
      <c r="D10" s="89"/>
      <c r="E10" s="89"/>
      <c r="F10" s="89"/>
      <c r="G10" s="89"/>
      <c r="H10" s="89"/>
      <c r="I10" s="89"/>
      <c r="J10" s="32"/>
    </row>
    <row r="11" spans="1:11" ht="22.8">
      <c r="A11" s="32"/>
      <c r="B11" s="89"/>
      <c r="F11" s="89"/>
      <c r="G11" s="89"/>
      <c r="H11" s="89"/>
      <c r="I11" s="89"/>
      <c r="J11" s="32"/>
    </row>
    <row r="12" spans="1:11" ht="22.8">
      <c r="A12" s="32"/>
      <c r="B12" s="89"/>
      <c r="C12" s="89"/>
      <c r="D12" s="89"/>
      <c r="E12" s="89"/>
      <c r="F12" s="89"/>
      <c r="G12" s="89"/>
      <c r="H12" s="89"/>
      <c r="I12" s="89"/>
      <c r="J12" s="32"/>
    </row>
    <row r="13" spans="1:11" ht="22.8">
      <c r="A13" s="32"/>
      <c r="B13" s="89"/>
      <c r="C13" s="89"/>
      <c r="D13" s="89"/>
      <c r="E13" s="89"/>
      <c r="F13" s="89"/>
      <c r="G13" s="89"/>
      <c r="H13" s="89"/>
      <c r="I13" s="89"/>
      <c r="J13" s="32"/>
    </row>
    <row r="14" spans="1:11" ht="22.8">
      <c r="A14" s="32"/>
      <c r="B14" s="89"/>
      <c r="C14" s="89"/>
      <c r="D14" s="89"/>
      <c r="E14" s="89"/>
      <c r="F14" s="89"/>
      <c r="G14" s="89"/>
      <c r="H14" s="89"/>
      <c r="I14" s="89"/>
      <c r="J14" s="32"/>
    </row>
    <row r="15" spans="1:11" ht="22.8">
      <c r="A15" s="304"/>
      <c r="B15" s="244"/>
      <c r="C15" s="244"/>
      <c r="D15" s="244"/>
      <c r="E15" s="244"/>
      <c r="F15" s="244"/>
      <c r="G15" s="244"/>
      <c r="H15" s="244"/>
      <c r="I15" s="239"/>
      <c r="J15" s="32"/>
    </row>
    <row r="16" spans="1:11" ht="22.8">
      <c r="A16" s="252" t="s">
        <v>227</v>
      </c>
      <c r="B16" s="30">
        <v>7</v>
      </c>
      <c r="C16" s="30" t="s">
        <v>5</v>
      </c>
      <c r="D16" s="30" t="s">
        <v>213</v>
      </c>
      <c r="E16" s="30" t="s">
        <v>3</v>
      </c>
      <c r="F16" s="198">
        <v>45724</v>
      </c>
      <c r="G16" s="144" t="s">
        <v>470</v>
      </c>
      <c r="H16" s="30" t="s">
        <v>454</v>
      </c>
      <c r="I16" s="30"/>
      <c r="J16" s="32"/>
    </row>
    <row r="17" spans="1:10" ht="22.8">
      <c r="A17" s="251"/>
      <c r="B17" s="30">
        <v>8</v>
      </c>
      <c r="C17" s="30" t="s">
        <v>15</v>
      </c>
      <c r="D17" s="30" t="s">
        <v>213</v>
      </c>
      <c r="E17" s="30" t="s">
        <v>7</v>
      </c>
      <c r="F17" s="198">
        <v>45724</v>
      </c>
      <c r="G17" s="144" t="s">
        <v>471</v>
      </c>
      <c r="H17" s="30" t="s">
        <v>454</v>
      </c>
      <c r="I17" s="30"/>
      <c r="J17" s="32"/>
    </row>
    <row r="18" spans="1:10" ht="22.8">
      <c r="A18" s="299"/>
      <c r="B18" s="232"/>
      <c r="C18" s="232"/>
      <c r="D18" s="232"/>
      <c r="E18" s="232"/>
      <c r="F18" s="232"/>
      <c r="G18" s="232"/>
      <c r="H18" s="232"/>
      <c r="I18" s="233"/>
      <c r="J18" s="32"/>
    </row>
    <row r="19" spans="1:10" ht="45.6">
      <c r="A19" s="30" t="s">
        <v>232</v>
      </c>
      <c r="B19" s="30">
        <v>9</v>
      </c>
      <c r="C19" s="30" t="s">
        <v>426</v>
      </c>
      <c r="D19" s="30" t="s">
        <v>213</v>
      </c>
      <c r="E19" s="30" t="s">
        <v>427</v>
      </c>
      <c r="F19" s="31">
        <v>45725</v>
      </c>
      <c r="G19" s="30" t="s">
        <v>470</v>
      </c>
      <c r="H19" s="30" t="s">
        <v>454</v>
      </c>
      <c r="I19" s="30"/>
      <c r="J19" s="32"/>
    </row>
    <row r="20" spans="1:10" ht="22.8">
      <c r="A20" s="299"/>
      <c r="B20" s="232"/>
      <c r="C20" s="232"/>
      <c r="D20" s="232"/>
      <c r="E20" s="232"/>
      <c r="F20" s="232"/>
      <c r="G20" s="232"/>
      <c r="H20" s="232"/>
      <c r="I20" s="233"/>
      <c r="J20" s="32"/>
    </row>
    <row r="21" spans="1:10" ht="22.8">
      <c r="A21" s="30" t="s">
        <v>235</v>
      </c>
      <c r="B21" s="30">
        <v>10</v>
      </c>
      <c r="C21" s="30" t="s">
        <v>428</v>
      </c>
      <c r="D21" s="30" t="s">
        <v>213</v>
      </c>
      <c r="E21" s="30" t="s">
        <v>429</v>
      </c>
      <c r="F21" s="31">
        <v>45725</v>
      </c>
      <c r="G21" s="30" t="s">
        <v>471</v>
      </c>
      <c r="H21" s="30" t="s">
        <v>454</v>
      </c>
      <c r="I21" s="30"/>
      <c r="J21" s="32"/>
    </row>
    <row r="22" spans="1:10" ht="33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I20"/>
    <mergeCell ref="A1:I1"/>
    <mergeCell ref="A3:A8"/>
    <mergeCell ref="A15:I15"/>
    <mergeCell ref="A16:A17"/>
    <mergeCell ref="A18:I1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Q1000"/>
  <sheetViews>
    <sheetView workbookViewId="0"/>
  </sheetViews>
  <sheetFormatPr defaultColWidth="12.6640625" defaultRowHeight="15" customHeight="1"/>
  <cols>
    <col min="2" max="2" width="10.44140625" customWidth="1"/>
    <col min="3" max="3" width="10.33203125" customWidth="1"/>
    <col min="4" max="4" width="10.21875" customWidth="1"/>
    <col min="5" max="5" width="9.109375" customWidth="1"/>
    <col min="6" max="6" width="6.21875" customWidth="1"/>
    <col min="7" max="7" width="12" customWidth="1"/>
    <col min="8" max="8" width="9.109375" customWidth="1"/>
    <col min="9" max="9" width="0.33203125" customWidth="1"/>
    <col min="10" max="10" width="13.44140625" customWidth="1"/>
    <col min="11" max="12" width="10.21875" customWidth="1"/>
    <col min="13" max="13" width="10.33203125" customWidth="1"/>
    <col min="14" max="14" width="8.88671875" customWidth="1"/>
    <col min="15" max="15" width="6.33203125" customWidth="1"/>
    <col min="16" max="16" width="11.88671875" customWidth="1"/>
    <col min="17" max="17" width="9.77734375" customWidth="1"/>
  </cols>
  <sheetData>
    <row r="1" spans="1:17" ht="40.5" customHeight="1">
      <c r="A1" s="305" t="s">
        <v>51</v>
      </c>
      <c r="B1" s="232"/>
      <c r="C1" s="232"/>
      <c r="D1" s="232"/>
      <c r="E1" s="232"/>
      <c r="F1" s="232"/>
      <c r="G1" s="232"/>
      <c r="H1" s="233"/>
      <c r="I1" s="62"/>
      <c r="J1" s="276" t="s">
        <v>52</v>
      </c>
      <c r="K1" s="232"/>
      <c r="L1" s="232"/>
      <c r="M1" s="232"/>
      <c r="N1" s="232"/>
      <c r="O1" s="232"/>
      <c r="P1" s="232"/>
      <c r="Q1" s="233"/>
    </row>
    <row r="2" spans="1:17" ht="63.75" customHeight="1">
      <c r="A2" s="30" t="s">
        <v>239</v>
      </c>
      <c r="B2" s="30" t="s">
        <v>440</v>
      </c>
      <c r="C2" s="30" t="s">
        <v>441</v>
      </c>
      <c r="D2" s="30" t="s">
        <v>442</v>
      </c>
      <c r="E2" s="30" t="s">
        <v>314</v>
      </c>
      <c r="F2" s="30" t="s">
        <v>315</v>
      </c>
      <c r="G2" s="30" t="s">
        <v>316</v>
      </c>
      <c r="H2" s="100" t="s">
        <v>472</v>
      </c>
      <c r="I2" s="207"/>
      <c r="J2" s="30" t="s">
        <v>239</v>
      </c>
      <c r="K2" s="30" t="s">
        <v>440</v>
      </c>
      <c r="L2" s="30" t="s">
        <v>441</v>
      </c>
      <c r="M2" s="30" t="s">
        <v>442</v>
      </c>
      <c r="N2" s="30" t="s">
        <v>314</v>
      </c>
      <c r="O2" s="30" t="s">
        <v>315</v>
      </c>
      <c r="P2" s="30" t="s">
        <v>316</v>
      </c>
      <c r="Q2" s="30" t="s">
        <v>472</v>
      </c>
    </row>
    <row r="3" spans="1:17" ht="36" customHeight="1">
      <c r="A3" s="151" t="s">
        <v>415</v>
      </c>
      <c r="B3" s="135">
        <v>2</v>
      </c>
      <c r="C3" s="135">
        <v>2</v>
      </c>
      <c r="D3" s="135">
        <v>0</v>
      </c>
      <c r="E3" s="135">
        <v>4</v>
      </c>
      <c r="F3" s="135">
        <v>4</v>
      </c>
      <c r="G3" s="135">
        <v>0</v>
      </c>
      <c r="H3" s="136" t="s">
        <v>209</v>
      </c>
      <c r="I3" s="207"/>
      <c r="J3" s="151" t="s">
        <v>413</v>
      </c>
      <c r="K3" s="135">
        <v>2</v>
      </c>
      <c r="L3" s="135">
        <v>2</v>
      </c>
      <c r="M3" s="135">
        <v>0</v>
      </c>
      <c r="N3" s="135">
        <v>4</v>
      </c>
      <c r="O3" s="135">
        <v>4</v>
      </c>
      <c r="P3" s="135">
        <v>0</v>
      </c>
      <c r="Q3" s="135" t="s">
        <v>209</v>
      </c>
    </row>
    <row r="4" spans="1:17" ht="35.25" customHeight="1">
      <c r="A4" s="15" t="s">
        <v>416</v>
      </c>
      <c r="B4" s="135">
        <v>2</v>
      </c>
      <c r="C4" s="135">
        <v>0</v>
      </c>
      <c r="D4" s="135">
        <v>2</v>
      </c>
      <c r="E4" s="135">
        <v>0</v>
      </c>
      <c r="F4" s="135">
        <v>1</v>
      </c>
      <c r="G4" s="135">
        <v>4</v>
      </c>
      <c r="H4" s="136">
        <v>0.25</v>
      </c>
      <c r="I4" s="207"/>
      <c r="J4" s="78" t="s">
        <v>414</v>
      </c>
      <c r="K4" s="135">
        <v>2</v>
      </c>
      <c r="L4" s="135">
        <v>0</v>
      </c>
      <c r="M4" s="135">
        <v>2</v>
      </c>
      <c r="N4" s="135">
        <v>0</v>
      </c>
      <c r="O4" s="135">
        <v>0</v>
      </c>
      <c r="P4" s="135">
        <v>4</v>
      </c>
      <c r="Q4" s="135">
        <v>0</v>
      </c>
    </row>
    <row r="5" spans="1:17" ht="33" customHeight="1">
      <c r="A5" s="151" t="s">
        <v>289</v>
      </c>
      <c r="B5" s="38">
        <v>2</v>
      </c>
      <c r="C5" s="38">
        <v>1</v>
      </c>
      <c r="D5" s="38">
        <v>1</v>
      </c>
      <c r="E5" s="38">
        <v>2</v>
      </c>
      <c r="F5" s="38">
        <v>2</v>
      </c>
      <c r="G5" s="38">
        <v>3</v>
      </c>
      <c r="H5" s="208">
        <v>0.67769999999999997</v>
      </c>
      <c r="I5" s="207"/>
      <c r="J5" s="151" t="s">
        <v>373</v>
      </c>
      <c r="K5" s="38">
        <v>2</v>
      </c>
      <c r="L5" s="38">
        <v>1</v>
      </c>
      <c r="M5" s="38">
        <v>1</v>
      </c>
      <c r="N5" s="38">
        <v>2</v>
      </c>
      <c r="O5" s="38">
        <v>2</v>
      </c>
      <c r="P5" s="38">
        <v>2</v>
      </c>
      <c r="Q5" s="209">
        <v>1</v>
      </c>
    </row>
    <row r="6" spans="1:17" ht="33.75" customHeight="1">
      <c r="A6" s="137"/>
      <c r="B6" s="38"/>
      <c r="C6" s="38"/>
      <c r="D6" s="38"/>
      <c r="E6" s="38"/>
      <c r="F6" s="38"/>
      <c r="G6" s="38"/>
      <c r="H6" s="96"/>
      <c r="I6" s="210"/>
      <c r="J6" s="17"/>
      <c r="K6" s="211"/>
      <c r="L6" s="211"/>
      <c r="M6" s="211"/>
      <c r="N6" s="211"/>
      <c r="O6" s="211"/>
      <c r="P6" s="211"/>
      <c r="Q6" s="211"/>
    </row>
    <row r="7" spans="1:17" ht="30" customHeight="1">
      <c r="A7" s="265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</row>
    <row r="8" spans="1:17" ht="30" customHeight="1">
      <c r="A8" s="265"/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</row>
    <row r="9" spans="1:17" ht="15.75" customHeight="1"/>
    <row r="10" spans="1:17" ht="15.75" customHeight="1"/>
    <row r="11" spans="1:17" ht="15.75" customHeight="1"/>
    <row r="12" spans="1:17" ht="15.75" customHeight="1"/>
    <row r="13" spans="1:17" ht="15.75" customHeight="1"/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J1:Q1"/>
    <mergeCell ref="A7:Q7"/>
    <mergeCell ref="A8:Q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N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8" customWidth="1"/>
    <col min="2" max="3" width="11" customWidth="1"/>
    <col min="4" max="6" width="10.88671875" customWidth="1"/>
    <col min="7" max="7" width="11.109375" customWidth="1"/>
    <col min="8" max="8" width="10.88671875" customWidth="1"/>
    <col min="9" max="9" width="11.109375" customWidth="1"/>
    <col min="10" max="11" width="11" customWidth="1"/>
    <col min="12" max="12" width="7.44140625" customWidth="1"/>
    <col min="13" max="13" width="8.88671875" customWidth="1"/>
    <col min="14" max="14" width="27" customWidth="1"/>
  </cols>
  <sheetData>
    <row r="1" spans="1:14" ht="38.25" customHeight="1">
      <c r="A1" s="166" t="s">
        <v>473</v>
      </c>
      <c r="B1" s="166" t="s">
        <v>474</v>
      </c>
      <c r="C1" s="166" t="s">
        <v>475</v>
      </c>
      <c r="D1" s="166" t="s">
        <v>476</v>
      </c>
      <c r="E1" s="166" t="s">
        <v>477</v>
      </c>
      <c r="F1" s="166" t="s">
        <v>478</v>
      </c>
      <c r="G1" s="166" t="s">
        <v>479</v>
      </c>
      <c r="H1" s="166" t="s">
        <v>480</v>
      </c>
      <c r="I1" s="166" t="s">
        <v>481</v>
      </c>
      <c r="J1" s="166" t="s">
        <v>482</v>
      </c>
      <c r="K1" s="166" t="s">
        <v>483</v>
      </c>
      <c r="L1" s="230"/>
      <c r="M1" s="212" t="s">
        <v>484</v>
      </c>
      <c r="N1" s="212" t="s">
        <v>79</v>
      </c>
    </row>
    <row r="2" spans="1:14" ht="30.75" customHeight="1">
      <c r="A2" s="166" t="s">
        <v>485</v>
      </c>
      <c r="B2" s="111"/>
      <c r="C2" s="167"/>
      <c r="D2" s="213"/>
      <c r="E2" s="307" t="s">
        <v>486</v>
      </c>
      <c r="F2" s="279"/>
      <c r="G2" s="280"/>
      <c r="H2" s="308" t="s">
        <v>487</v>
      </c>
      <c r="I2" s="279"/>
      <c r="J2" s="280"/>
      <c r="K2" s="166"/>
      <c r="L2" s="230"/>
      <c r="M2" s="214"/>
      <c r="N2" s="212" t="s">
        <v>488</v>
      </c>
    </row>
    <row r="3" spans="1:14" ht="30.75" customHeight="1">
      <c r="A3" s="166" t="s">
        <v>489</v>
      </c>
      <c r="B3" s="309" t="s">
        <v>486</v>
      </c>
      <c r="C3" s="279"/>
      <c r="D3" s="279"/>
      <c r="E3" s="280"/>
      <c r="F3" s="278"/>
      <c r="G3" s="279"/>
      <c r="H3" s="279"/>
      <c r="I3" s="279"/>
      <c r="J3" s="279"/>
      <c r="K3" s="280"/>
      <c r="L3" s="230"/>
      <c r="M3" s="215"/>
      <c r="N3" s="212" t="s">
        <v>490</v>
      </c>
    </row>
    <row r="4" spans="1:14" ht="30.75" customHeight="1">
      <c r="A4" s="216" t="s">
        <v>491</v>
      </c>
      <c r="B4" s="111"/>
      <c r="C4" s="167"/>
      <c r="D4" s="167"/>
      <c r="E4" s="310"/>
      <c r="F4" s="279"/>
      <c r="G4" s="167"/>
      <c r="H4" s="167"/>
      <c r="I4" s="167"/>
      <c r="J4" s="167"/>
      <c r="K4" s="213"/>
      <c r="L4" s="230"/>
      <c r="M4" s="217"/>
      <c r="N4" s="212" t="s">
        <v>492</v>
      </c>
    </row>
    <row r="5" spans="1:14" ht="32.25" customHeight="1">
      <c r="A5" s="166" t="s">
        <v>493</v>
      </c>
      <c r="B5" s="278"/>
      <c r="C5" s="279"/>
      <c r="D5" s="279"/>
      <c r="E5" s="279"/>
      <c r="F5" s="279"/>
      <c r="G5" s="279"/>
      <c r="H5" s="279"/>
      <c r="I5" s="279"/>
      <c r="J5" s="279"/>
      <c r="K5" s="280"/>
      <c r="L5" s="230"/>
      <c r="M5" s="218"/>
      <c r="N5" s="212" t="s">
        <v>494</v>
      </c>
    </row>
    <row r="6" spans="1:14" ht="32.25" customHeight="1">
      <c r="A6" s="166" t="s">
        <v>495</v>
      </c>
      <c r="B6" s="278"/>
      <c r="C6" s="279"/>
      <c r="D6" s="279"/>
      <c r="E6" s="279"/>
      <c r="F6" s="279"/>
      <c r="G6" s="279"/>
      <c r="H6" s="279"/>
      <c r="I6" s="279"/>
      <c r="J6" s="279"/>
      <c r="K6" s="280"/>
      <c r="L6" s="230"/>
      <c r="M6" s="219"/>
      <c r="N6" s="212" t="s">
        <v>496</v>
      </c>
    </row>
    <row r="7" spans="1:14" ht="33" customHeight="1">
      <c r="A7" s="166" t="s">
        <v>497</v>
      </c>
      <c r="B7" s="166"/>
      <c r="C7" s="311"/>
      <c r="D7" s="279"/>
      <c r="E7" s="279"/>
      <c r="F7" s="279"/>
      <c r="G7" s="279"/>
      <c r="H7" s="279"/>
      <c r="I7" s="279"/>
      <c r="J7" s="280"/>
      <c r="K7" s="166"/>
      <c r="L7" s="230"/>
      <c r="M7" s="220"/>
      <c r="N7" s="212" t="s">
        <v>498</v>
      </c>
    </row>
    <row r="8" spans="1:14" ht="32.25" customHeight="1">
      <c r="A8" s="166" t="s">
        <v>499</v>
      </c>
      <c r="B8" s="166"/>
      <c r="C8" s="306"/>
      <c r="D8" s="279"/>
      <c r="E8" s="280"/>
      <c r="F8" s="306"/>
      <c r="G8" s="279"/>
      <c r="H8" s="280"/>
      <c r="I8" s="306"/>
      <c r="J8" s="279"/>
      <c r="K8" s="280"/>
      <c r="L8" s="230"/>
      <c r="M8" s="221"/>
      <c r="N8" s="212" t="s">
        <v>500</v>
      </c>
    </row>
    <row r="9" spans="1:14" ht="33" customHeight="1">
      <c r="A9" s="166" t="s">
        <v>501</v>
      </c>
      <c r="B9" s="278"/>
      <c r="C9" s="279"/>
      <c r="D9" s="279"/>
      <c r="E9" s="279"/>
      <c r="F9" s="279"/>
      <c r="G9" s="279"/>
      <c r="H9" s="279"/>
      <c r="I9" s="279"/>
      <c r="J9" s="279"/>
      <c r="K9" s="280"/>
      <c r="L9" s="230"/>
      <c r="M9" s="222"/>
      <c r="N9" s="212" t="s">
        <v>502</v>
      </c>
    </row>
    <row r="10" spans="1:14" ht="34.5" customHeight="1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23"/>
      <c r="N10" s="212" t="s">
        <v>503</v>
      </c>
    </row>
    <row r="11" spans="1:14" ht="30.75" customHeight="1">
      <c r="A11" s="224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25"/>
      <c r="N11" s="212" t="s">
        <v>504</v>
      </c>
    </row>
    <row r="12" spans="1:14" ht="31.5" customHeight="1">
      <c r="A12" s="224"/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26"/>
      <c r="N12" s="212" t="s">
        <v>505</v>
      </c>
    </row>
    <row r="13" spans="1:14" ht="33" customHeight="1">
      <c r="A13" s="224"/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</row>
    <row r="14" spans="1:14" ht="15.75" customHeight="1"/>
    <row r="15" spans="1:14" ht="15.75" customHeight="1"/>
    <row r="16" spans="1:1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8:H8"/>
    <mergeCell ref="I8:K8"/>
    <mergeCell ref="B9:K9"/>
    <mergeCell ref="B10:K10"/>
    <mergeCell ref="B11:K11"/>
    <mergeCell ref="B13:N13"/>
    <mergeCell ref="L1:L12"/>
    <mergeCell ref="E2:G2"/>
    <mergeCell ref="H2:J2"/>
    <mergeCell ref="B3:E3"/>
    <mergeCell ref="F3:K3"/>
    <mergeCell ref="E4:F4"/>
    <mergeCell ref="B5:K5"/>
    <mergeCell ref="B12:K12"/>
    <mergeCell ref="B6:K6"/>
    <mergeCell ref="C7:J7"/>
    <mergeCell ref="C8:E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AE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0.44140625" customWidth="1"/>
    <col min="2" max="2" width="9.109375" customWidth="1"/>
    <col min="3" max="3" width="9" customWidth="1"/>
    <col min="4" max="4" width="9.109375" customWidth="1"/>
    <col min="5" max="5" width="8.88671875" customWidth="1"/>
    <col min="6" max="6" width="9" customWidth="1"/>
    <col min="7" max="7" width="8.88671875" customWidth="1"/>
    <col min="8" max="8" width="9.88671875" customWidth="1"/>
    <col min="9" max="9" width="10.88671875" customWidth="1"/>
    <col min="10" max="10" width="11.109375" customWidth="1"/>
    <col min="11" max="11" width="11" customWidth="1"/>
    <col min="12" max="31" width="10.88671875" customWidth="1"/>
  </cols>
  <sheetData>
    <row r="1" spans="1:31" ht="45" customHeight="1">
      <c r="A1" s="166" t="s">
        <v>473</v>
      </c>
      <c r="B1" s="166" t="s">
        <v>506</v>
      </c>
      <c r="C1" s="166" t="s">
        <v>507</v>
      </c>
      <c r="D1" s="166" t="s">
        <v>508</v>
      </c>
      <c r="E1" s="166" t="s">
        <v>509</v>
      </c>
      <c r="F1" s="166" t="s">
        <v>510</v>
      </c>
      <c r="G1" s="166" t="s">
        <v>511</v>
      </c>
      <c r="H1" s="166" t="s">
        <v>512</v>
      </c>
      <c r="I1" s="166" t="s">
        <v>513</v>
      </c>
      <c r="J1" s="166" t="s">
        <v>514</v>
      </c>
      <c r="K1" s="166" t="s">
        <v>515</v>
      </c>
      <c r="L1" s="166" t="s">
        <v>516</v>
      </c>
      <c r="M1" s="166" t="s">
        <v>517</v>
      </c>
      <c r="N1" s="166" t="s">
        <v>518</v>
      </c>
      <c r="O1" s="166" t="s">
        <v>519</v>
      </c>
      <c r="P1" s="166" t="s">
        <v>520</v>
      </c>
      <c r="Q1" s="166" t="s">
        <v>521</v>
      </c>
      <c r="R1" s="166" t="s">
        <v>522</v>
      </c>
      <c r="S1" s="166" t="s">
        <v>523</v>
      </c>
      <c r="T1" s="166" t="s">
        <v>524</v>
      </c>
      <c r="U1" s="166" t="s">
        <v>525</v>
      </c>
      <c r="V1" s="166" t="s">
        <v>474</v>
      </c>
      <c r="W1" s="166" t="s">
        <v>475</v>
      </c>
      <c r="X1" s="166" t="s">
        <v>476</v>
      </c>
      <c r="Y1" s="166" t="s">
        <v>477</v>
      </c>
      <c r="Z1" s="166" t="s">
        <v>478</v>
      </c>
      <c r="AA1" s="166" t="s">
        <v>479</v>
      </c>
      <c r="AB1" s="166" t="s">
        <v>480</v>
      </c>
      <c r="AC1" s="166" t="s">
        <v>481</v>
      </c>
      <c r="AD1" s="166" t="s">
        <v>482</v>
      </c>
      <c r="AE1" s="166" t="s">
        <v>483</v>
      </c>
    </row>
    <row r="2" spans="1:31" ht="31.5" customHeight="1">
      <c r="A2" s="166" t="s">
        <v>485</v>
      </c>
      <c r="B2" s="278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80"/>
      <c r="Y2" s="308" t="s">
        <v>526</v>
      </c>
      <c r="Z2" s="279"/>
      <c r="AA2" s="280"/>
      <c r="AB2" s="308" t="s">
        <v>527</v>
      </c>
      <c r="AC2" s="279"/>
      <c r="AD2" s="280"/>
      <c r="AE2" s="166"/>
    </row>
    <row r="3" spans="1:31" ht="33" customHeight="1">
      <c r="A3" s="166" t="s">
        <v>489</v>
      </c>
      <c r="B3" s="309" t="s">
        <v>528</v>
      </c>
      <c r="C3" s="279"/>
      <c r="D3" s="279"/>
      <c r="E3" s="280"/>
      <c r="G3" s="309" t="s">
        <v>529</v>
      </c>
      <c r="H3" s="279"/>
      <c r="I3" s="279"/>
      <c r="J3" s="280"/>
      <c r="K3" s="300"/>
      <c r="L3" s="279"/>
      <c r="M3" s="279"/>
      <c r="N3" s="279"/>
      <c r="O3" s="279"/>
      <c r="P3" s="279"/>
      <c r="Q3" s="279"/>
      <c r="R3" s="279"/>
      <c r="S3" s="279"/>
      <c r="T3" s="279"/>
      <c r="U3" s="280"/>
      <c r="V3" s="309" t="s">
        <v>530</v>
      </c>
      <c r="W3" s="279"/>
      <c r="X3" s="279"/>
      <c r="Y3" s="279"/>
      <c r="Z3" s="279"/>
      <c r="AA3" s="167"/>
      <c r="AB3" s="167"/>
      <c r="AC3" s="167"/>
      <c r="AD3" s="167"/>
      <c r="AE3" s="213"/>
    </row>
    <row r="4" spans="1:31" ht="30.75" customHeight="1">
      <c r="A4" s="166" t="s">
        <v>531</v>
      </c>
      <c r="B4" s="166"/>
      <c r="C4" s="312" t="s">
        <v>532</v>
      </c>
      <c r="D4" s="280"/>
      <c r="E4" s="312" t="s">
        <v>533</v>
      </c>
      <c r="F4" s="280"/>
      <c r="G4" s="227" t="s">
        <v>533</v>
      </c>
      <c r="H4" s="227" t="s">
        <v>534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312" t="s">
        <v>534</v>
      </c>
      <c r="V4" s="280"/>
      <c r="W4" s="312" t="s">
        <v>535</v>
      </c>
      <c r="X4" s="280"/>
      <c r="Y4" s="300"/>
      <c r="Z4" s="279"/>
      <c r="AA4" s="279"/>
      <c r="AB4" s="279"/>
      <c r="AC4" s="279"/>
      <c r="AD4" s="279"/>
      <c r="AE4" s="280"/>
    </row>
    <row r="5" spans="1:31" ht="30.75" customHeight="1">
      <c r="A5" s="166" t="s">
        <v>493</v>
      </c>
      <c r="B5" s="278"/>
      <c r="C5" s="279"/>
      <c r="D5" s="279"/>
      <c r="E5" s="279"/>
      <c r="F5" s="279"/>
      <c r="G5" s="279"/>
      <c r="H5" s="279"/>
      <c r="I5" s="280"/>
      <c r="J5" s="315" t="s">
        <v>536</v>
      </c>
      <c r="K5" s="279"/>
      <c r="L5" s="280"/>
      <c r="M5" s="315" t="s">
        <v>537</v>
      </c>
      <c r="N5" s="280"/>
      <c r="O5" s="278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80"/>
    </row>
    <row r="6" spans="1:31" ht="30.75" customHeight="1">
      <c r="A6" s="166" t="s">
        <v>495</v>
      </c>
      <c r="B6" s="278"/>
      <c r="C6" s="279"/>
      <c r="D6" s="279"/>
      <c r="E6" s="279"/>
      <c r="F6" s="279"/>
      <c r="G6" s="279"/>
      <c r="H6" s="279"/>
      <c r="I6" s="315" t="s">
        <v>538</v>
      </c>
      <c r="J6" s="279"/>
      <c r="K6" s="279"/>
      <c r="L6" s="213"/>
      <c r="M6" s="315" t="s">
        <v>539</v>
      </c>
      <c r="N6" s="280"/>
      <c r="O6" s="278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80"/>
    </row>
    <row r="7" spans="1:31" ht="30" customHeight="1">
      <c r="A7" s="166" t="s">
        <v>497</v>
      </c>
      <c r="B7" s="311" t="s">
        <v>540</v>
      </c>
      <c r="C7" s="279"/>
      <c r="D7" s="279"/>
      <c r="E7" s="279"/>
      <c r="F7" s="279"/>
      <c r="G7" s="279"/>
      <c r="H7" s="279"/>
      <c r="I7" s="279"/>
      <c r="J7" s="311" t="s">
        <v>541</v>
      </c>
      <c r="K7" s="279"/>
      <c r="L7" s="279"/>
      <c r="M7" s="279"/>
      <c r="N7" s="279"/>
      <c r="O7" s="279"/>
      <c r="P7" s="280"/>
      <c r="Q7" s="314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80"/>
    </row>
    <row r="8" spans="1:31" ht="31.5" customHeight="1">
      <c r="A8" s="166" t="s">
        <v>499</v>
      </c>
      <c r="B8" s="278"/>
      <c r="C8" s="280"/>
      <c r="D8" s="306" t="s">
        <v>536</v>
      </c>
      <c r="E8" s="279"/>
      <c r="F8" s="28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313" t="s">
        <v>542</v>
      </c>
      <c r="V8" s="279"/>
      <c r="W8" s="313" t="s">
        <v>543</v>
      </c>
      <c r="X8" s="279"/>
      <c r="Y8" s="313" t="s">
        <v>544</v>
      </c>
      <c r="Z8" s="279"/>
      <c r="AA8" s="313" t="s">
        <v>545</v>
      </c>
      <c r="AB8" s="279"/>
      <c r="AC8" s="300"/>
      <c r="AD8" s="279"/>
      <c r="AE8" s="280"/>
    </row>
    <row r="9" spans="1:31" ht="31.5" customHeight="1">
      <c r="A9" s="166" t="s">
        <v>501</v>
      </c>
      <c r="B9" s="278"/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80"/>
      <c r="Q9" s="316" t="s">
        <v>546</v>
      </c>
      <c r="R9" s="280"/>
      <c r="S9" s="316" t="s">
        <v>547</v>
      </c>
      <c r="T9" s="280"/>
      <c r="U9" s="278"/>
      <c r="V9" s="279"/>
      <c r="W9" s="279"/>
      <c r="X9" s="279"/>
      <c r="Y9" s="279"/>
      <c r="Z9" s="279"/>
      <c r="AA9" s="279"/>
      <c r="AB9" s="279"/>
      <c r="AC9" s="279"/>
      <c r="AD9" s="279"/>
      <c r="AE9" s="280"/>
    </row>
    <row r="10" spans="1:31" ht="33.75" customHeight="1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</row>
    <row r="11" spans="1:31" ht="15.75" customHeight="1"/>
    <row r="12" spans="1:31" ht="15.75" customHeight="1"/>
    <row r="13" spans="1:31" ht="15.75" customHeight="1"/>
    <row r="14" spans="1:31" ht="15.75" customHeight="1"/>
    <row r="15" spans="1:31" ht="15.75" customHeight="1"/>
    <row r="16" spans="1:3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0:AE10"/>
    <mergeCell ref="J5:L5"/>
    <mergeCell ref="M5:N5"/>
    <mergeCell ref="B6:H6"/>
    <mergeCell ref="I6:K6"/>
    <mergeCell ref="M6:N6"/>
    <mergeCell ref="B7:I7"/>
    <mergeCell ref="J7:P7"/>
    <mergeCell ref="Y8:Z8"/>
    <mergeCell ref="AA8:AB8"/>
    <mergeCell ref="AC8:AE8"/>
    <mergeCell ref="B9:P9"/>
    <mergeCell ref="Q9:R9"/>
    <mergeCell ref="S9:T9"/>
    <mergeCell ref="U9:AE9"/>
    <mergeCell ref="B8:C8"/>
    <mergeCell ref="D8:F8"/>
    <mergeCell ref="G8:T8"/>
    <mergeCell ref="U8:V8"/>
    <mergeCell ref="W8:X8"/>
    <mergeCell ref="O5:AE5"/>
    <mergeCell ref="O6:AE6"/>
    <mergeCell ref="Q7:AE7"/>
    <mergeCell ref="Y4:AE4"/>
    <mergeCell ref="B5:I5"/>
    <mergeCell ref="B2:X2"/>
    <mergeCell ref="Y2:AA2"/>
    <mergeCell ref="AB2:AD2"/>
    <mergeCell ref="B3:E3"/>
    <mergeCell ref="G3:J3"/>
    <mergeCell ref="K3:U3"/>
    <mergeCell ref="V3:Z3"/>
    <mergeCell ref="C4:D4"/>
    <mergeCell ref="E4:F4"/>
    <mergeCell ref="I4:T4"/>
    <mergeCell ref="U4:V4"/>
    <mergeCell ref="W4:X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AE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2.109375" customWidth="1"/>
    <col min="2" max="5" width="9" customWidth="1"/>
    <col min="6" max="6" width="8.88671875" customWidth="1"/>
    <col min="7" max="7" width="9" customWidth="1"/>
    <col min="8" max="8" width="9.88671875" customWidth="1"/>
    <col min="9" max="11" width="11" customWidth="1"/>
    <col min="12" max="12" width="11.109375" customWidth="1"/>
    <col min="13" max="17" width="10.88671875" customWidth="1"/>
    <col min="18" max="19" width="11" customWidth="1"/>
    <col min="20" max="31" width="10.88671875" customWidth="1"/>
  </cols>
  <sheetData>
    <row r="1" spans="1:31" ht="54" customHeight="1">
      <c r="A1" s="166" t="s">
        <v>473</v>
      </c>
      <c r="B1" s="166" t="s">
        <v>506</v>
      </c>
      <c r="C1" s="166" t="s">
        <v>507</v>
      </c>
      <c r="D1" s="166" t="s">
        <v>508</v>
      </c>
      <c r="E1" s="166" t="s">
        <v>509</v>
      </c>
      <c r="F1" s="166" t="s">
        <v>510</v>
      </c>
      <c r="G1" s="166" t="s">
        <v>511</v>
      </c>
      <c r="H1" s="166" t="s">
        <v>512</v>
      </c>
      <c r="I1" s="166" t="s">
        <v>513</v>
      </c>
      <c r="J1" s="166" t="s">
        <v>514</v>
      </c>
      <c r="K1" s="166" t="s">
        <v>515</v>
      </c>
      <c r="L1" s="166" t="s">
        <v>516</v>
      </c>
      <c r="M1" s="166" t="s">
        <v>517</v>
      </c>
      <c r="N1" s="166" t="s">
        <v>518</v>
      </c>
      <c r="O1" s="166" t="s">
        <v>519</v>
      </c>
      <c r="P1" s="166" t="s">
        <v>520</v>
      </c>
      <c r="Q1" s="166" t="s">
        <v>521</v>
      </c>
      <c r="R1" s="166" t="s">
        <v>522</v>
      </c>
      <c r="S1" s="166" t="s">
        <v>523</v>
      </c>
      <c r="T1" s="166" t="s">
        <v>524</v>
      </c>
      <c r="U1" s="166" t="s">
        <v>525</v>
      </c>
      <c r="V1" s="166" t="s">
        <v>474</v>
      </c>
      <c r="W1" s="166" t="s">
        <v>475</v>
      </c>
      <c r="X1" s="166" t="s">
        <v>476</v>
      </c>
      <c r="Y1" s="166" t="s">
        <v>477</v>
      </c>
      <c r="Z1" s="166" t="s">
        <v>478</v>
      </c>
      <c r="AA1" s="166" t="s">
        <v>479</v>
      </c>
      <c r="AB1" s="166" t="s">
        <v>480</v>
      </c>
      <c r="AC1" s="166" t="s">
        <v>481</v>
      </c>
      <c r="AD1" s="166" t="s">
        <v>482</v>
      </c>
      <c r="AE1" s="166" t="s">
        <v>483</v>
      </c>
    </row>
    <row r="2" spans="1:31" ht="34.5" customHeight="1">
      <c r="A2" s="166" t="s">
        <v>485</v>
      </c>
      <c r="B2" s="278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80"/>
      <c r="Y2" s="308" t="s">
        <v>548</v>
      </c>
      <c r="Z2" s="279"/>
      <c r="AA2" s="280"/>
      <c r="AB2" s="308" t="s">
        <v>549</v>
      </c>
      <c r="AC2" s="279"/>
      <c r="AD2" s="280"/>
      <c r="AE2" s="166"/>
    </row>
    <row r="3" spans="1:31" ht="36" customHeight="1">
      <c r="A3" s="166" t="s">
        <v>489</v>
      </c>
      <c r="B3" s="309" t="s">
        <v>550</v>
      </c>
      <c r="C3" s="279"/>
      <c r="D3" s="279"/>
      <c r="E3" s="280"/>
      <c r="F3" s="167"/>
      <c r="G3" s="309" t="s">
        <v>541</v>
      </c>
      <c r="H3" s="279"/>
      <c r="I3" s="279"/>
      <c r="J3" s="279"/>
      <c r="K3" s="300"/>
      <c r="L3" s="279"/>
      <c r="M3" s="279"/>
      <c r="N3" s="279"/>
      <c r="O3" s="279"/>
      <c r="P3" s="279"/>
      <c r="Q3" s="279"/>
      <c r="R3" s="309" t="s">
        <v>538</v>
      </c>
      <c r="S3" s="279"/>
      <c r="T3" s="279"/>
      <c r="U3" s="279"/>
      <c r="V3" s="309" t="s">
        <v>551</v>
      </c>
      <c r="W3" s="279"/>
      <c r="X3" s="279"/>
      <c r="Y3" s="279"/>
      <c r="Z3" s="280"/>
      <c r="AA3" s="300"/>
      <c r="AB3" s="279"/>
      <c r="AC3" s="279"/>
      <c r="AD3" s="279"/>
      <c r="AE3" s="280"/>
    </row>
    <row r="4" spans="1:31" ht="37.5" customHeight="1">
      <c r="A4" s="166" t="s">
        <v>531</v>
      </c>
      <c r="B4" s="166"/>
      <c r="C4" s="312" t="s">
        <v>551</v>
      </c>
      <c r="D4" s="280"/>
      <c r="E4" s="312" t="s">
        <v>552</v>
      </c>
      <c r="F4" s="280"/>
      <c r="G4" s="227" t="s">
        <v>553</v>
      </c>
      <c r="H4" s="227" t="s">
        <v>554</v>
      </c>
      <c r="I4" s="278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80"/>
      <c r="U4" s="312" t="s">
        <v>555</v>
      </c>
      <c r="V4" s="280"/>
      <c r="W4" s="312" t="s">
        <v>556</v>
      </c>
      <c r="X4" s="280"/>
      <c r="Y4" s="314"/>
      <c r="Z4" s="279"/>
      <c r="AA4" s="279"/>
      <c r="AB4" s="279"/>
      <c r="AC4" s="279"/>
      <c r="AD4" s="279"/>
      <c r="AE4" s="280"/>
    </row>
    <row r="5" spans="1:31" ht="37.5" customHeight="1">
      <c r="A5" s="166" t="s">
        <v>493</v>
      </c>
      <c r="B5" s="278"/>
      <c r="C5" s="279"/>
      <c r="D5" s="279"/>
      <c r="E5" s="279"/>
      <c r="F5" s="279"/>
      <c r="G5" s="279"/>
      <c r="H5" s="279"/>
      <c r="I5" s="280"/>
      <c r="J5" s="315" t="s">
        <v>557</v>
      </c>
      <c r="K5" s="279"/>
      <c r="L5" s="280"/>
      <c r="M5" s="315" t="s">
        <v>558</v>
      </c>
      <c r="N5" s="280"/>
      <c r="O5" s="278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80"/>
    </row>
    <row r="6" spans="1:31" ht="35.25" customHeight="1">
      <c r="A6" s="166" t="s">
        <v>495</v>
      </c>
      <c r="B6" s="278"/>
      <c r="C6" s="279"/>
      <c r="D6" s="279"/>
      <c r="E6" s="279"/>
      <c r="F6" s="279"/>
      <c r="G6" s="279"/>
      <c r="H6" s="279"/>
      <c r="I6" s="279"/>
      <c r="J6" s="279"/>
      <c r="K6" s="279"/>
      <c r="L6" s="280"/>
      <c r="M6" s="315" t="s">
        <v>559</v>
      </c>
      <c r="N6" s="280"/>
      <c r="O6" s="278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80"/>
    </row>
    <row r="7" spans="1:31" ht="37.5" customHeight="1">
      <c r="A7" s="166" t="s">
        <v>497</v>
      </c>
      <c r="B7" s="166"/>
      <c r="C7" s="311" t="s">
        <v>560</v>
      </c>
      <c r="D7" s="279"/>
      <c r="E7" s="279"/>
      <c r="F7" s="279"/>
      <c r="G7" s="279"/>
      <c r="H7" s="279"/>
      <c r="I7" s="280"/>
      <c r="J7" s="311" t="s">
        <v>561</v>
      </c>
      <c r="K7" s="279"/>
      <c r="L7" s="279"/>
      <c r="M7" s="279"/>
      <c r="N7" s="279"/>
      <c r="O7" s="279"/>
      <c r="P7" s="280"/>
      <c r="Q7" s="311" t="s">
        <v>559</v>
      </c>
      <c r="R7" s="279"/>
      <c r="S7" s="279"/>
      <c r="T7" s="279"/>
      <c r="U7" s="279"/>
      <c r="V7" s="279"/>
      <c r="W7" s="279"/>
      <c r="X7" s="280"/>
      <c r="Y7" s="311" t="s">
        <v>562</v>
      </c>
      <c r="Z7" s="279"/>
      <c r="AA7" s="279"/>
      <c r="AB7" s="279"/>
      <c r="AC7" s="279"/>
      <c r="AD7" s="279"/>
      <c r="AE7" s="280"/>
    </row>
    <row r="8" spans="1:31" ht="35.25" customHeight="1">
      <c r="A8" s="166" t="s">
        <v>499</v>
      </c>
      <c r="B8" s="278"/>
      <c r="C8" s="280"/>
      <c r="D8" s="306" t="s">
        <v>529</v>
      </c>
      <c r="E8" s="279"/>
      <c r="F8" s="28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313" t="s">
        <v>539</v>
      </c>
      <c r="V8" s="279"/>
      <c r="W8" s="313" t="s">
        <v>551</v>
      </c>
      <c r="X8" s="279"/>
      <c r="Y8" s="313" t="s">
        <v>538</v>
      </c>
      <c r="Z8" s="279"/>
      <c r="AA8" s="313" t="s">
        <v>563</v>
      </c>
      <c r="AB8" s="279"/>
      <c r="AC8" s="300"/>
      <c r="AD8" s="279"/>
      <c r="AE8" s="280"/>
    </row>
    <row r="9" spans="1:31" ht="33.75" customHeight="1">
      <c r="A9" s="166" t="s">
        <v>501</v>
      </c>
      <c r="B9" s="278"/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80"/>
      <c r="Q9" s="316" t="s">
        <v>564</v>
      </c>
      <c r="R9" s="280"/>
      <c r="S9" s="316" t="s">
        <v>565</v>
      </c>
      <c r="T9" s="280"/>
      <c r="U9" s="278"/>
      <c r="V9" s="279"/>
      <c r="W9" s="279"/>
      <c r="X9" s="279"/>
      <c r="Y9" s="279"/>
      <c r="Z9" s="279"/>
      <c r="AA9" s="279"/>
      <c r="AB9" s="279"/>
      <c r="AC9" s="279"/>
      <c r="AD9" s="279"/>
      <c r="AE9" s="280"/>
    </row>
    <row r="10" spans="1:31" ht="30.75" customHeight="1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</row>
    <row r="11" spans="1:31" ht="15.75" customHeight="1"/>
    <row r="12" spans="1:31" ht="15.75" customHeight="1"/>
    <row r="13" spans="1:31" ht="15.75" customHeight="1"/>
    <row r="14" spans="1:31" ht="15.75" customHeight="1"/>
    <row r="15" spans="1:31" ht="15.75" customHeight="1"/>
    <row r="16" spans="1:3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10:AE10"/>
    <mergeCell ref="J5:L5"/>
    <mergeCell ref="M5:N5"/>
    <mergeCell ref="B6:L6"/>
    <mergeCell ref="M6:N6"/>
    <mergeCell ref="C7:I7"/>
    <mergeCell ref="J7:P7"/>
    <mergeCell ref="B8:C8"/>
    <mergeCell ref="AA8:AB8"/>
    <mergeCell ref="AC8:AE8"/>
    <mergeCell ref="B9:P9"/>
    <mergeCell ref="Q9:R9"/>
    <mergeCell ref="S9:T9"/>
    <mergeCell ref="U9:AE9"/>
    <mergeCell ref="D8:F8"/>
    <mergeCell ref="G8:T8"/>
    <mergeCell ref="U8:V8"/>
    <mergeCell ref="W8:X8"/>
    <mergeCell ref="Y8:Z8"/>
    <mergeCell ref="O5:AE5"/>
    <mergeCell ref="O6:AE6"/>
    <mergeCell ref="Q7:X7"/>
    <mergeCell ref="Y7:AE7"/>
    <mergeCell ref="Y4:AE4"/>
    <mergeCell ref="B5:I5"/>
    <mergeCell ref="V3:Z3"/>
    <mergeCell ref="AA3:AE3"/>
    <mergeCell ref="B2:X2"/>
    <mergeCell ref="Y2:AA2"/>
    <mergeCell ref="AB2:AD2"/>
    <mergeCell ref="B3:E3"/>
    <mergeCell ref="G3:J3"/>
    <mergeCell ref="K3:Q3"/>
    <mergeCell ref="R3:U3"/>
    <mergeCell ref="C4:D4"/>
    <mergeCell ref="E4:F4"/>
    <mergeCell ref="I4:T4"/>
    <mergeCell ref="U4:V4"/>
    <mergeCell ref="W4:X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AD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" customWidth="1"/>
    <col min="2" max="7" width="9" customWidth="1"/>
    <col min="8" max="8" width="9.88671875" customWidth="1"/>
    <col min="9" max="9" width="10.88671875" customWidth="1"/>
    <col min="10" max="10" width="10.77734375" customWidth="1"/>
    <col min="11" max="11" width="10.6640625" customWidth="1"/>
    <col min="12" max="12" width="10.77734375" customWidth="1"/>
    <col min="13" max="30" width="10.88671875" customWidth="1"/>
  </cols>
  <sheetData>
    <row r="1" spans="1:30" ht="43.5" customHeight="1">
      <c r="A1" s="212" t="s">
        <v>473</v>
      </c>
      <c r="B1" s="212" t="s">
        <v>506</v>
      </c>
      <c r="C1" s="212" t="s">
        <v>507</v>
      </c>
      <c r="D1" s="212" t="s">
        <v>508</v>
      </c>
      <c r="E1" s="212" t="s">
        <v>509</v>
      </c>
      <c r="F1" s="212" t="s">
        <v>510</v>
      </c>
      <c r="G1" s="212" t="s">
        <v>511</v>
      </c>
      <c r="H1" s="212" t="s">
        <v>512</v>
      </c>
      <c r="I1" s="212" t="s">
        <v>513</v>
      </c>
      <c r="J1" s="212" t="s">
        <v>514</v>
      </c>
      <c r="K1" s="212" t="s">
        <v>515</v>
      </c>
      <c r="L1" s="212" t="s">
        <v>516</v>
      </c>
      <c r="M1" s="212" t="s">
        <v>517</v>
      </c>
      <c r="N1" s="212" t="s">
        <v>518</v>
      </c>
      <c r="O1" s="212" t="s">
        <v>519</v>
      </c>
      <c r="P1" s="212" t="s">
        <v>520</v>
      </c>
      <c r="Q1" s="212" t="s">
        <v>521</v>
      </c>
      <c r="R1" s="212" t="s">
        <v>522</v>
      </c>
      <c r="S1" s="212" t="s">
        <v>523</v>
      </c>
      <c r="T1" s="212" t="s">
        <v>524</v>
      </c>
      <c r="U1" s="212" t="s">
        <v>525</v>
      </c>
      <c r="V1" s="212" t="s">
        <v>474</v>
      </c>
      <c r="W1" s="212" t="s">
        <v>475</v>
      </c>
      <c r="X1" s="212" t="s">
        <v>476</v>
      </c>
      <c r="Y1" s="212" t="s">
        <v>477</v>
      </c>
      <c r="Z1" s="212" t="s">
        <v>478</v>
      </c>
      <c r="AA1" s="212" t="s">
        <v>479</v>
      </c>
      <c r="AB1" s="212" t="s">
        <v>480</v>
      </c>
      <c r="AC1" s="212" t="s">
        <v>481</v>
      </c>
      <c r="AD1" s="212" t="s">
        <v>482</v>
      </c>
    </row>
    <row r="2" spans="1:30" ht="35.25" customHeight="1">
      <c r="A2" s="212" t="s">
        <v>485</v>
      </c>
      <c r="B2" s="317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80"/>
    </row>
    <row r="3" spans="1:30" ht="36" customHeight="1">
      <c r="A3" s="212" t="s">
        <v>489</v>
      </c>
      <c r="B3" s="317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80"/>
    </row>
    <row r="4" spans="1:30" ht="36.75" customHeight="1">
      <c r="A4" s="212" t="s">
        <v>531</v>
      </c>
      <c r="B4" s="317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80"/>
    </row>
    <row r="5" spans="1:30" ht="37.5" customHeight="1">
      <c r="A5" s="212" t="s">
        <v>493</v>
      </c>
      <c r="B5" s="317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315" t="s">
        <v>566</v>
      </c>
      <c r="X5" s="280"/>
      <c r="Y5" s="318"/>
      <c r="Z5" s="279"/>
      <c r="AA5" s="279"/>
      <c r="AB5" s="279"/>
      <c r="AC5" s="279"/>
      <c r="AD5" s="280"/>
    </row>
    <row r="6" spans="1:30" ht="34.5" customHeight="1">
      <c r="A6" s="212" t="s">
        <v>495</v>
      </c>
      <c r="B6" s="317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80"/>
    </row>
    <row r="7" spans="1:30" ht="34.5" customHeight="1">
      <c r="A7" s="212" t="s">
        <v>497</v>
      </c>
      <c r="B7" s="317"/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80"/>
    </row>
    <row r="8" spans="1:30" ht="34.5" customHeight="1">
      <c r="A8" s="212" t="s">
        <v>499</v>
      </c>
      <c r="B8" s="317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80"/>
    </row>
    <row r="9" spans="1:30" ht="33" customHeight="1">
      <c r="A9" s="212" t="s">
        <v>501</v>
      </c>
      <c r="B9" s="317"/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80"/>
    </row>
    <row r="10" spans="1:30" ht="31.5" customHeight="1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</row>
    <row r="11" spans="1:30" ht="15.75" customHeight="1"/>
    <row r="12" spans="1:30" ht="15.75" customHeight="1"/>
    <row r="13" spans="1:30" ht="15.75" customHeight="1"/>
    <row r="14" spans="1:30" ht="15.75" customHeight="1"/>
    <row r="15" spans="1:30" ht="15.75" customHeight="1"/>
    <row r="16" spans="1:3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7:AD7"/>
    <mergeCell ref="B8:AD8"/>
    <mergeCell ref="B9:AD9"/>
    <mergeCell ref="B10:AD10"/>
    <mergeCell ref="B2:AD2"/>
    <mergeCell ref="B3:AD3"/>
    <mergeCell ref="B4:AD4"/>
    <mergeCell ref="B5:V5"/>
    <mergeCell ref="W5:X5"/>
    <mergeCell ref="Y5:AD5"/>
    <mergeCell ref="B6:AD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K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.44140625" customWidth="1"/>
    <col min="2" max="3" width="11.21875" customWidth="1"/>
    <col min="4" max="5" width="10.88671875" customWidth="1"/>
  </cols>
  <sheetData>
    <row r="1" spans="1:11" ht="51.75" customHeight="1">
      <c r="A1" s="166" t="s">
        <v>473</v>
      </c>
      <c r="B1" s="166" t="s">
        <v>474</v>
      </c>
      <c r="C1" s="166" t="s">
        <v>475</v>
      </c>
      <c r="D1" s="166" t="s">
        <v>476</v>
      </c>
      <c r="E1" s="166" t="s">
        <v>477</v>
      </c>
      <c r="F1" s="166" t="s">
        <v>478</v>
      </c>
      <c r="G1" s="166" t="s">
        <v>479</v>
      </c>
      <c r="H1" s="166" t="s">
        <v>480</v>
      </c>
      <c r="I1" s="166" t="s">
        <v>481</v>
      </c>
      <c r="J1" s="166" t="s">
        <v>482</v>
      </c>
      <c r="K1" s="166" t="s">
        <v>483</v>
      </c>
    </row>
    <row r="2" spans="1:11" ht="34.5" customHeight="1">
      <c r="A2" s="166" t="s">
        <v>485</v>
      </c>
      <c r="B2" s="278"/>
      <c r="C2" s="279"/>
      <c r="D2" s="280"/>
      <c r="E2" s="308" t="s">
        <v>567</v>
      </c>
      <c r="F2" s="279"/>
      <c r="G2" s="280"/>
      <c r="H2" s="308" t="s">
        <v>532</v>
      </c>
      <c r="I2" s="279"/>
      <c r="J2" s="280"/>
      <c r="K2" s="166"/>
    </row>
    <row r="3" spans="1:11" ht="33.75" customHeight="1">
      <c r="A3" s="166" t="s">
        <v>489</v>
      </c>
      <c r="B3" s="309" t="s">
        <v>535</v>
      </c>
      <c r="C3" s="279"/>
      <c r="D3" s="279"/>
      <c r="E3" s="280"/>
      <c r="F3" s="278"/>
      <c r="G3" s="279"/>
      <c r="H3" s="279"/>
      <c r="I3" s="279"/>
      <c r="J3" s="279"/>
      <c r="K3" s="280"/>
    </row>
    <row r="4" spans="1:11" ht="35.25" customHeight="1">
      <c r="A4" s="166" t="s">
        <v>491</v>
      </c>
      <c r="B4" s="278"/>
      <c r="C4" s="279"/>
      <c r="D4" s="279"/>
      <c r="E4" s="279"/>
      <c r="F4" s="279"/>
      <c r="G4" s="279"/>
      <c r="H4" s="279"/>
      <c r="I4" s="279"/>
      <c r="J4" s="279"/>
      <c r="K4" s="280"/>
    </row>
    <row r="5" spans="1:11" ht="35.25" customHeight="1">
      <c r="A5" s="166" t="s">
        <v>493</v>
      </c>
      <c r="B5" s="278"/>
      <c r="C5" s="279"/>
      <c r="D5" s="279"/>
      <c r="E5" s="279"/>
      <c r="F5" s="279"/>
      <c r="G5" s="279"/>
      <c r="H5" s="279"/>
      <c r="I5" s="279"/>
      <c r="J5" s="279"/>
      <c r="K5" s="280"/>
    </row>
    <row r="6" spans="1:11" ht="36.75" customHeight="1">
      <c r="A6" s="166" t="s">
        <v>495</v>
      </c>
      <c r="B6" s="278"/>
      <c r="C6" s="279"/>
      <c r="D6" s="279"/>
      <c r="E6" s="279"/>
      <c r="F6" s="279"/>
      <c r="G6" s="279"/>
      <c r="H6" s="279"/>
      <c r="I6" s="279"/>
      <c r="J6" s="279"/>
      <c r="K6" s="280"/>
    </row>
    <row r="7" spans="1:11" ht="36" customHeight="1">
      <c r="A7" s="166" t="s">
        <v>497</v>
      </c>
      <c r="B7" s="111"/>
      <c r="C7" s="311" t="s">
        <v>552</v>
      </c>
      <c r="D7" s="279"/>
      <c r="E7" s="279"/>
      <c r="F7" s="279"/>
      <c r="G7" s="279"/>
      <c r="H7" s="279"/>
      <c r="I7" s="279"/>
      <c r="J7" s="280"/>
      <c r="K7" s="213"/>
    </row>
    <row r="8" spans="1:11" ht="36" customHeight="1">
      <c r="A8" s="166" t="s">
        <v>499</v>
      </c>
      <c r="B8" s="166"/>
      <c r="C8" s="306" t="s">
        <v>568</v>
      </c>
      <c r="D8" s="279"/>
      <c r="E8" s="280"/>
      <c r="F8" s="306" t="s">
        <v>545</v>
      </c>
      <c r="G8" s="279"/>
      <c r="H8" s="280"/>
      <c r="I8" s="306" t="s">
        <v>543</v>
      </c>
      <c r="J8" s="279"/>
      <c r="K8" s="280"/>
    </row>
    <row r="9" spans="1:11" ht="33" customHeight="1">
      <c r="A9" s="166" t="s">
        <v>501</v>
      </c>
      <c r="B9" s="278"/>
      <c r="C9" s="279"/>
      <c r="D9" s="279"/>
      <c r="E9" s="279"/>
      <c r="F9" s="279"/>
      <c r="G9" s="279"/>
      <c r="H9" s="279"/>
      <c r="I9" s="279"/>
      <c r="J9" s="279"/>
      <c r="K9" s="280"/>
    </row>
    <row r="10" spans="1:11" ht="30.75" customHeight="1">
      <c r="B10" s="230"/>
      <c r="C10" s="230"/>
      <c r="D10" s="230"/>
      <c r="E10" s="230"/>
      <c r="F10" s="230"/>
      <c r="G10" s="230"/>
      <c r="H10" s="230"/>
      <c r="I10" s="230"/>
      <c r="J10" s="230"/>
      <c r="K10" s="230"/>
    </row>
    <row r="11" spans="1:11" ht="15.75" customHeight="1"/>
    <row r="12" spans="1:11" ht="15.75" customHeight="1"/>
    <row r="13" spans="1:11" ht="15.75" customHeight="1"/>
    <row r="14" spans="1:11" ht="15.75" customHeight="1"/>
    <row r="15" spans="1:11" ht="15.75" customHeight="1"/>
    <row r="16" spans="1:1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9:K9"/>
    <mergeCell ref="B10:K10"/>
    <mergeCell ref="B2:D2"/>
    <mergeCell ref="E2:G2"/>
    <mergeCell ref="H2:J2"/>
    <mergeCell ref="B3:E3"/>
    <mergeCell ref="F3:K3"/>
    <mergeCell ref="B4:K4"/>
    <mergeCell ref="B5:K5"/>
    <mergeCell ref="B6:K6"/>
    <mergeCell ref="C7:J7"/>
    <mergeCell ref="C8:E8"/>
    <mergeCell ref="F8:H8"/>
    <mergeCell ref="I8:K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AE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.21875" customWidth="1"/>
    <col min="2" max="2" width="8.88671875" customWidth="1"/>
    <col min="3" max="6" width="9" customWidth="1"/>
    <col min="7" max="7" width="8.88671875" customWidth="1"/>
    <col min="8" max="8" width="10" customWidth="1"/>
    <col min="9" max="9" width="10.88671875" customWidth="1"/>
    <col min="10" max="10" width="11.109375" customWidth="1"/>
    <col min="11" max="12" width="11" customWidth="1"/>
    <col min="13" max="22" width="10.88671875" customWidth="1"/>
    <col min="23" max="23" width="11" customWidth="1"/>
    <col min="24" max="31" width="10.88671875" customWidth="1"/>
  </cols>
  <sheetData>
    <row r="1" spans="1:31" ht="53.25" customHeight="1">
      <c r="A1" s="166" t="s">
        <v>473</v>
      </c>
      <c r="B1" s="166" t="s">
        <v>506</v>
      </c>
      <c r="C1" s="166" t="s">
        <v>507</v>
      </c>
      <c r="D1" s="166" t="s">
        <v>508</v>
      </c>
      <c r="E1" s="166" t="s">
        <v>509</v>
      </c>
      <c r="F1" s="166" t="s">
        <v>510</v>
      </c>
      <c r="G1" s="166" t="s">
        <v>511</v>
      </c>
      <c r="H1" s="166" t="s">
        <v>512</v>
      </c>
      <c r="I1" s="166" t="s">
        <v>513</v>
      </c>
      <c r="J1" s="166" t="s">
        <v>514</v>
      </c>
      <c r="K1" s="166" t="s">
        <v>515</v>
      </c>
      <c r="L1" s="166" t="s">
        <v>516</v>
      </c>
      <c r="M1" s="166" t="s">
        <v>517</v>
      </c>
      <c r="N1" s="166" t="s">
        <v>518</v>
      </c>
      <c r="O1" s="166" t="s">
        <v>519</v>
      </c>
      <c r="P1" s="166" t="s">
        <v>520</v>
      </c>
      <c r="Q1" s="166" t="s">
        <v>521</v>
      </c>
      <c r="R1" s="166" t="s">
        <v>522</v>
      </c>
      <c r="S1" s="166" t="s">
        <v>523</v>
      </c>
      <c r="T1" s="166" t="s">
        <v>524</v>
      </c>
      <c r="U1" s="166" t="s">
        <v>525</v>
      </c>
      <c r="V1" s="166" t="s">
        <v>474</v>
      </c>
      <c r="W1" s="166" t="s">
        <v>475</v>
      </c>
      <c r="X1" s="166" t="s">
        <v>476</v>
      </c>
      <c r="Y1" s="166" t="s">
        <v>477</v>
      </c>
      <c r="Z1" s="166" t="s">
        <v>478</v>
      </c>
      <c r="AA1" s="166" t="s">
        <v>479</v>
      </c>
      <c r="AB1" s="166" t="s">
        <v>480</v>
      </c>
      <c r="AC1" s="166" t="s">
        <v>481</v>
      </c>
      <c r="AD1" s="166" t="s">
        <v>482</v>
      </c>
      <c r="AE1" s="166" t="s">
        <v>483</v>
      </c>
    </row>
    <row r="2" spans="1:31" ht="35.25" customHeight="1">
      <c r="A2" s="166" t="s">
        <v>485</v>
      </c>
      <c r="B2" s="278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80"/>
      <c r="Y2" s="308" t="s">
        <v>555</v>
      </c>
      <c r="Z2" s="279"/>
      <c r="AA2" s="280"/>
      <c r="AB2" s="308" t="s">
        <v>560</v>
      </c>
      <c r="AC2" s="279"/>
      <c r="AD2" s="280"/>
      <c r="AE2" s="166"/>
    </row>
    <row r="3" spans="1:31" ht="36" customHeight="1">
      <c r="A3" s="166" t="s">
        <v>489</v>
      </c>
      <c r="B3" s="309" t="s">
        <v>562</v>
      </c>
      <c r="C3" s="279"/>
      <c r="D3" s="279"/>
      <c r="E3" s="280"/>
      <c r="F3" s="167"/>
      <c r="G3" s="309" t="s">
        <v>569</v>
      </c>
      <c r="H3" s="279"/>
      <c r="I3" s="279"/>
      <c r="J3" s="279"/>
      <c r="K3" s="300"/>
      <c r="L3" s="279"/>
      <c r="M3" s="279"/>
      <c r="N3" s="279"/>
      <c r="O3" s="279"/>
      <c r="P3" s="279"/>
      <c r="Q3" s="279"/>
      <c r="R3" s="279"/>
      <c r="S3" s="279"/>
      <c r="T3" s="279"/>
      <c r="U3" s="280"/>
      <c r="V3" s="309" t="s">
        <v>570</v>
      </c>
      <c r="W3" s="279"/>
      <c r="X3" s="279"/>
      <c r="Y3" s="280"/>
      <c r="Z3" s="300"/>
      <c r="AA3" s="279"/>
      <c r="AB3" s="279"/>
      <c r="AC3" s="279"/>
      <c r="AD3" s="279"/>
      <c r="AE3" s="280"/>
    </row>
    <row r="4" spans="1:31" ht="36" customHeight="1">
      <c r="A4" s="166" t="s">
        <v>531</v>
      </c>
      <c r="B4" s="166"/>
      <c r="C4" s="312" t="s">
        <v>571</v>
      </c>
      <c r="D4" s="280"/>
      <c r="E4" s="312" t="s">
        <v>572</v>
      </c>
      <c r="F4" s="280"/>
      <c r="G4" s="227" t="s">
        <v>573</v>
      </c>
      <c r="H4" s="227" t="s">
        <v>567</v>
      </c>
      <c r="I4" s="278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80"/>
      <c r="U4" s="312" t="s">
        <v>541</v>
      </c>
      <c r="V4" s="280"/>
      <c r="W4" s="312" t="s">
        <v>559</v>
      </c>
      <c r="X4" s="280"/>
      <c r="Y4" s="300"/>
      <c r="Z4" s="279"/>
      <c r="AA4" s="279"/>
      <c r="AB4" s="279"/>
      <c r="AC4" s="279"/>
      <c r="AD4" s="279"/>
      <c r="AE4" s="280"/>
    </row>
    <row r="5" spans="1:31" ht="35.25" customHeight="1">
      <c r="A5" s="166" t="s">
        <v>493</v>
      </c>
      <c r="B5" s="278"/>
      <c r="C5" s="279"/>
      <c r="D5" s="279"/>
      <c r="E5" s="279"/>
      <c r="F5" s="279"/>
      <c r="G5" s="279"/>
      <c r="H5" s="279"/>
      <c r="I5" s="280"/>
      <c r="J5" s="315" t="s">
        <v>541</v>
      </c>
      <c r="K5" s="279"/>
      <c r="L5" s="280"/>
      <c r="M5" s="315" t="s">
        <v>561</v>
      </c>
      <c r="N5" s="280"/>
      <c r="O5" s="278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80"/>
    </row>
    <row r="6" spans="1:31" ht="35.25" customHeight="1">
      <c r="A6" s="166" t="s">
        <v>495</v>
      </c>
      <c r="B6" s="278"/>
      <c r="C6" s="279"/>
      <c r="D6" s="279"/>
      <c r="E6" s="279"/>
      <c r="F6" s="279"/>
      <c r="G6" s="279"/>
      <c r="H6" s="279"/>
      <c r="I6" s="280"/>
      <c r="J6" s="315" t="s">
        <v>573</v>
      </c>
      <c r="K6" s="279"/>
      <c r="L6" s="280"/>
      <c r="M6" s="315" t="s">
        <v>574</v>
      </c>
      <c r="N6" s="280"/>
      <c r="O6" s="278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80"/>
    </row>
    <row r="7" spans="1:31" ht="35.25" customHeight="1">
      <c r="A7" s="166" t="s">
        <v>497</v>
      </c>
      <c r="B7" s="166"/>
      <c r="C7" s="311" t="s">
        <v>575</v>
      </c>
      <c r="D7" s="279"/>
      <c r="E7" s="279"/>
      <c r="F7" s="279"/>
      <c r="G7" s="279"/>
      <c r="H7" s="279"/>
      <c r="I7" s="280"/>
      <c r="J7" s="311" t="s">
        <v>526</v>
      </c>
      <c r="K7" s="279"/>
      <c r="L7" s="279"/>
      <c r="M7" s="279"/>
      <c r="N7" s="279"/>
      <c r="O7" s="279"/>
      <c r="P7" s="280"/>
      <c r="Q7" s="311" t="s">
        <v>548</v>
      </c>
      <c r="R7" s="279"/>
      <c r="S7" s="279"/>
      <c r="T7" s="279"/>
      <c r="U7" s="279"/>
      <c r="V7" s="279"/>
      <c r="W7" s="279"/>
      <c r="X7" s="280"/>
      <c r="Y7" s="311" t="s">
        <v>568</v>
      </c>
      <c r="Z7" s="279"/>
      <c r="AA7" s="279"/>
      <c r="AB7" s="279"/>
      <c r="AC7" s="279"/>
      <c r="AD7" s="279"/>
      <c r="AE7" s="280"/>
    </row>
    <row r="8" spans="1:31" ht="35.25" customHeight="1">
      <c r="A8" s="166" t="s">
        <v>499</v>
      </c>
      <c r="B8" s="278"/>
      <c r="C8" s="280"/>
      <c r="D8" s="306" t="s">
        <v>544</v>
      </c>
      <c r="E8" s="279"/>
      <c r="F8" s="28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313" t="s">
        <v>572</v>
      </c>
      <c r="V8" s="279"/>
      <c r="W8" s="313" t="s">
        <v>540</v>
      </c>
      <c r="X8" s="279"/>
      <c r="Y8" s="313" t="s">
        <v>576</v>
      </c>
      <c r="Z8" s="279"/>
      <c r="AA8" s="313" t="s">
        <v>577</v>
      </c>
      <c r="AB8" s="279"/>
      <c r="AC8" s="300"/>
      <c r="AD8" s="279"/>
      <c r="AE8" s="280"/>
    </row>
    <row r="9" spans="1:31" ht="35.25" customHeight="1">
      <c r="A9" s="166" t="s">
        <v>501</v>
      </c>
      <c r="B9" s="278"/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80"/>
      <c r="Q9" s="316" t="s">
        <v>578</v>
      </c>
      <c r="R9" s="280"/>
      <c r="S9" s="316" t="s">
        <v>579</v>
      </c>
      <c r="T9" s="280"/>
      <c r="U9" s="278"/>
      <c r="V9" s="279"/>
      <c r="W9" s="279"/>
      <c r="X9" s="279"/>
      <c r="Y9" s="279"/>
      <c r="Z9" s="279"/>
      <c r="AA9" s="279"/>
      <c r="AB9" s="279"/>
      <c r="AC9" s="279"/>
      <c r="AD9" s="279"/>
      <c r="AE9" s="280"/>
    </row>
    <row r="10" spans="1:31" ht="34.5" customHeight="1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</row>
    <row r="11" spans="1:31" ht="15.75" customHeight="1"/>
    <row r="12" spans="1:31" ht="15.75" customHeight="1"/>
    <row r="13" spans="1:31" ht="15.75" customHeight="1"/>
    <row r="14" spans="1:31" ht="15.75" customHeight="1"/>
    <row r="15" spans="1:31" ht="15.75" customHeight="1"/>
    <row r="16" spans="1:3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9:P9"/>
    <mergeCell ref="Q9:R9"/>
    <mergeCell ref="S9:T9"/>
    <mergeCell ref="B10:AE10"/>
    <mergeCell ref="W8:X8"/>
    <mergeCell ref="Y8:Z8"/>
    <mergeCell ref="AA8:AB8"/>
    <mergeCell ref="AC8:AE8"/>
    <mergeCell ref="U9:AE9"/>
    <mergeCell ref="B8:C8"/>
    <mergeCell ref="D8:F8"/>
    <mergeCell ref="J6:L6"/>
    <mergeCell ref="M6:N6"/>
    <mergeCell ref="O6:AE6"/>
    <mergeCell ref="G8:T8"/>
    <mergeCell ref="U8:V8"/>
    <mergeCell ref="B6:I6"/>
    <mergeCell ref="C7:I7"/>
    <mergeCell ref="J7:P7"/>
    <mergeCell ref="Q7:X7"/>
    <mergeCell ref="Y7:AE7"/>
    <mergeCell ref="Y4:AE4"/>
    <mergeCell ref="B5:I5"/>
    <mergeCell ref="J5:L5"/>
    <mergeCell ref="M5:N5"/>
    <mergeCell ref="O5:AE5"/>
    <mergeCell ref="C4:D4"/>
    <mergeCell ref="E4:F4"/>
    <mergeCell ref="I4:T4"/>
    <mergeCell ref="U4:V4"/>
    <mergeCell ref="W4:X4"/>
    <mergeCell ref="B2:X2"/>
    <mergeCell ref="Y2:AA2"/>
    <mergeCell ref="AB2:AD2"/>
    <mergeCell ref="G3:J3"/>
    <mergeCell ref="K3:U3"/>
    <mergeCell ref="V3:Y3"/>
    <mergeCell ref="Z3:AE3"/>
    <mergeCell ref="B3:E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AD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.44140625" customWidth="1"/>
    <col min="2" max="7" width="9" customWidth="1"/>
    <col min="8" max="8" width="9.88671875" customWidth="1"/>
    <col min="9" max="9" width="10.88671875" customWidth="1"/>
    <col min="10" max="10" width="11.109375" customWidth="1"/>
    <col min="11" max="11" width="11" customWidth="1"/>
    <col min="12" max="12" width="11.21875" customWidth="1"/>
    <col min="13" max="15" width="10.88671875" customWidth="1"/>
    <col min="16" max="16" width="13.21875" customWidth="1"/>
    <col min="17" max="24" width="10.88671875" customWidth="1"/>
    <col min="25" max="27" width="11" customWidth="1"/>
    <col min="28" max="28" width="11.109375" customWidth="1"/>
    <col min="29" max="29" width="11" customWidth="1"/>
    <col min="30" max="30" width="10.88671875" customWidth="1"/>
  </cols>
  <sheetData>
    <row r="1" spans="1:30" ht="46.5" customHeight="1">
      <c r="A1" s="166" t="s">
        <v>473</v>
      </c>
      <c r="B1" s="166" t="s">
        <v>506</v>
      </c>
      <c r="C1" s="166" t="s">
        <v>507</v>
      </c>
      <c r="D1" s="166" t="s">
        <v>508</v>
      </c>
      <c r="E1" s="166" t="s">
        <v>509</v>
      </c>
      <c r="F1" s="166" t="s">
        <v>510</v>
      </c>
      <c r="G1" s="166" t="s">
        <v>511</v>
      </c>
      <c r="H1" s="166" t="s">
        <v>512</v>
      </c>
      <c r="I1" s="166" t="s">
        <v>513</v>
      </c>
      <c r="J1" s="166" t="s">
        <v>514</v>
      </c>
      <c r="K1" s="166" t="s">
        <v>515</v>
      </c>
      <c r="L1" s="166" t="s">
        <v>516</v>
      </c>
      <c r="M1" s="166" t="s">
        <v>517</v>
      </c>
      <c r="N1" s="166" t="s">
        <v>518</v>
      </c>
      <c r="O1" s="166" t="s">
        <v>519</v>
      </c>
      <c r="P1" s="166" t="s">
        <v>520</v>
      </c>
      <c r="Q1" s="166" t="s">
        <v>521</v>
      </c>
      <c r="R1" s="166" t="s">
        <v>522</v>
      </c>
      <c r="S1" s="166" t="s">
        <v>523</v>
      </c>
      <c r="T1" s="166" t="s">
        <v>524</v>
      </c>
      <c r="U1" s="166" t="s">
        <v>525</v>
      </c>
      <c r="V1" s="166" t="s">
        <v>474</v>
      </c>
      <c r="W1" s="166" t="s">
        <v>475</v>
      </c>
      <c r="X1" s="166" t="s">
        <v>476</v>
      </c>
      <c r="Y1" s="166" t="s">
        <v>477</v>
      </c>
      <c r="Z1" s="166" t="s">
        <v>478</v>
      </c>
      <c r="AA1" s="166" t="s">
        <v>479</v>
      </c>
      <c r="AB1" s="166" t="s">
        <v>480</v>
      </c>
      <c r="AC1" s="166" t="s">
        <v>481</v>
      </c>
      <c r="AD1" s="166" t="s">
        <v>482</v>
      </c>
    </row>
    <row r="2" spans="1:30" ht="32.25" customHeight="1">
      <c r="A2" s="166" t="s">
        <v>485</v>
      </c>
      <c r="B2" s="278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80"/>
      <c r="Y2" s="308" t="s">
        <v>574</v>
      </c>
      <c r="Z2" s="279"/>
      <c r="AA2" s="280"/>
      <c r="AB2" s="308" t="s">
        <v>551</v>
      </c>
      <c r="AC2" s="279"/>
      <c r="AD2" s="280"/>
    </row>
    <row r="3" spans="1:30" ht="32.25" customHeight="1">
      <c r="A3" s="166" t="s">
        <v>489</v>
      </c>
      <c r="B3" s="309" t="s">
        <v>580</v>
      </c>
      <c r="C3" s="279"/>
      <c r="D3" s="279"/>
      <c r="E3" s="279"/>
      <c r="F3" s="280"/>
      <c r="H3" s="309" t="s">
        <v>581</v>
      </c>
      <c r="I3" s="279"/>
      <c r="J3" s="279"/>
      <c r="K3" s="279"/>
      <c r="L3" s="279"/>
      <c r="M3" s="300"/>
      <c r="N3" s="279"/>
      <c r="O3" s="279"/>
      <c r="P3" s="279"/>
      <c r="Q3" s="279"/>
      <c r="R3" s="279"/>
      <c r="S3" s="280"/>
      <c r="T3" s="319" t="s">
        <v>83</v>
      </c>
      <c r="U3" s="279"/>
      <c r="V3" s="279"/>
      <c r="W3" s="279"/>
      <c r="X3" s="279"/>
      <c r="Y3" s="279"/>
      <c r="Z3" s="280"/>
      <c r="AA3" s="300"/>
      <c r="AB3" s="279"/>
      <c r="AC3" s="279"/>
      <c r="AD3" s="280"/>
    </row>
    <row r="4" spans="1:30" ht="30.75" customHeight="1">
      <c r="A4" s="166" t="s">
        <v>531</v>
      </c>
      <c r="C4" s="312" t="s">
        <v>580</v>
      </c>
      <c r="D4" s="279"/>
      <c r="E4" s="280"/>
      <c r="F4" s="312" t="s">
        <v>581</v>
      </c>
      <c r="G4" s="279"/>
      <c r="H4" s="279"/>
      <c r="I4" s="280"/>
      <c r="J4" s="300"/>
      <c r="K4" s="279"/>
      <c r="L4" s="279"/>
      <c r="M4" s="279"/>
      <c r="N4" s="279"/>
      <c r="O4" s="279"/>
      <c r="P4" s="279"/>
      <c r="Q4" s="279"/>
      <c r="R4" s="279"/>
      <c r="S4" s="279"/>
      <c r="T4" s="228" t="s">
        <v>543</v>
      </c>
      <c r="U4" s="227" t="s">
        <v>548</v>
      </c>
      <c r="V4" s="278"/>
      <c r="W4" s="279"/>
      <c r="X4" s="279"/>
      <c r="Y4" s="279"/>
      <c r="Z4" s="279"/>
      <c r="AA4" s="279"/>
      <c r="AB4" s="279"/>
      <c r="AC4" s="279"/>
      <c r="AD4" s="280"/>
    </row>
    <row r="5" spans="1:30" ht="30.75" customHeight="1">
      <c r="A5" s="166" t="s">
        <v>493</v>
      </c>
      <c r="B5" s="278"/>
      <c r="C5" s="279"/>
      <c r="D5" s="279"/>
      <c r="E5" s="279"/>
      <c r="F5" s="279"/>
      <c r="G5" s="279"/>
      <c r="H5" s="279"/>
      <c r="I5" s="280"/>
      <c r="J5" s="315" t="s">
        <v>580</v>
      </c>
      <c r="K5" s="279"/>
      <c r="L5" s="280"/>
      <c r="M5" s="315" t="s">
        <v>581</v>
      </c>
      <c r="N5" s="280"/>
      <c r="O5" s="278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80"/>
    </row>
    <row r="6" spans="1:30" ht="30.75" customHeight="1">
      <c r="A6" s="166" t="s">
        <v>495</v>
      </c>
      <c r="B6" s="278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80"/>
    </row>
    <row r="7" spans="1:30" ht="31.5" customHeight="1">
      <c r="A7" s="166" t="s">
        <v>497</v>
      </c>
      <c r="B7" s="166"/>
      <c r="C7" s="311" t="s">
        <v>580</v>
      </c>
      <c r="D7" s="279"/>
      <c r="E7" s="279"/>
      <c r="F7" s="279"/>
      <c r="G7" s="279"/>
      <c r="H7" s="279"/>
      <c r="I7" s="280"/>
      <c r="J7" s="311" t="s">
        <v>581</v>
      </c>
      <c r="K7" s="279"/>
      <c r="L7" s="279"/>
      <c r="M7" s="279"/>
      <c r="N7" s="279"/>
      <c r="O7" s="279"/>
      <c r="P7" s="279"/>
      <c r="Q7" s="279"/>
      <c r="R7" s="300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80"/>
    </row>
    <row r="8" spans="1:30" ht="31.5" customHeight="1">
      <c r="A8" s="166" t="s">
        <v>499</v>
      </c>
      <c r="B8" s="111"/>
      <c r="C8" s="313" t="s">
        <v>580</v>
      </c>
      <c r="D8" s="279"/>
      <c r="E8" s="313" t="s">
        <v>581</v>
      </c>
      <c r="F8" s="279"/>
      <c r="G8" s="28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306" t="s">
        <v>542</v>
      </c>
      <c r="W8" s="279"/>
      <c r="X8" s="280"/>
      <c r="Y8" s="306" t="s">
        <v>567</v>
      </c>
      <c r="Z8" s="279"/>
      <c r="AA8" s="280"/>
      <c r="AB8" s="306" t="s">
        <v>553</v>
      </c>
      <c r="AC8" s="279"/>
      <c r="AD8" s="280"/>
    </row>
    <row r="9" spans="1:30" ht="32.25" customHeight="1">
      <c r="A9" s="166" t="s">
        <v>501</v>
      </c>
      <c r="B9" s="278"/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80"/>
      <c r="Q9" s="316" t="s">
        <v>582</v>
      </c>
      <c r="R9" s="280"/>
      <c r="S9" s="278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80"/>
    </row>
    <row r="10" spans="1:30" ht="32.25" customHeight="1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</row>
    <row r="11" spans="1:30" ht="15.75" customHeight="1"/>
    <row r="12" spans="1:30" ht="15.75" customHeight="1"/>
    <row r="13" spans="1:30" ht="15.75" customHeight="1"/>
    <row r="14" spans="1:30" ht="15.75" customHeight="1"/>
    <row r="15" spans="1:30" ht="15.75" customHeight="1"/>
    <row r="16" spans="1:3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0:AD10"/>
    <mergeCell ref="B5:I5"/>
    <mergeCell ref="C7:I7"/>
    <mergeCell ref="J7:Q7"/>
    <mergeCell ref="C8:D8"/>
    <mergeCell ref="E8:G8"/>
    <mergeCell ref="H8:U8"/>
    <mergeCell ref="V8:X8"/>
    <mergeCell ref="B6:AD6"/>
    <mergeCell ref="R7:AD7"/>
    <mergeCell ref="Y8:AA8"/>
    <mergeCell ref="AB8:AD8"/>
    <mergeCell ref="B9:P9"/>
    <mergeCell ref="Q9:R9"/>
    <mergeCell ref="S9:AD9"/>
    <mergeCell ref="M5:N5"/>
    <mergeCell ref="O5:AD5"/>
    <mergeCell ref="B3:F3"/>
    <mergeCell ref="C4:E4"/>
    <mergeCell ref="F4:I4"/>
    <mergeCell ref="J4:S4"/>
    <mergeCell ref="V4:AD4"/>
    <mergeCell ref="J5:L5"/>
    <mergeCell ref="B2:X2"/>
    <mergeCell ref="Y2:AA2"/>
    <mergeCell ref="AB2:AD2"/>
    <mergeCell ref="H3:L3"/>
    <mergeCell ref="M3:S3"/>
    <mergeCell ref="T3:Z3"/>
    <mergeCell ref="AA3:AD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O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0.77734375" customWidth="1"/>
    <col min="2" max="7" width="9" customWidth="1"/>
    <col min="10" max="10" width="11" customWidth="1"/>
    <col min="11" max="11" width="10.88671875" customWidth="1"/>
    <col min="12" max="12" width="11" customWidth="1"/>
    <col min="13" max="13" width="10.88671875" customWidth="1"/>
    <col min="14" max="14" width="11" customWidth="1"/>
    <col min="15" max="15" width="11.109375" customWidth="1"/>
  </cols>
  <sheetData>
    <row r="1" spans="1:15" ht="46.5" customHeight="1">
      <c r="A1" s="166" t="s">
        <v>473</v>
      </c>
      <c r="B1" s="166" t="s">
        <v>524</v>
      </c>
      <c r="C1" s="166" t="s">
        <v>525</v>
      </c>
      <c r="D1" s="166" t="s">
        <v>474</v>
      </c>
      <c r="E1" s="166" t="s">
        <v>475</v>
      </c>
      <c r="F1" s="166" t="s">
        <v>476</v>
      </c>
      <c r="G1" s="166" t="s">
        <v>477</v>
      </c>
      <c r="H1" s="166" t="s">
        <v>478</v>
      </c>
      <c r="I1" s="166" t="s">
        <v>479</v>
      </c>
      <c r="J1" s="166" t="s">
        <v>480</v>
      </c>
      <c r="K1" s="166" t="s">
        <v>481</v>
      </c>
      <c r="L1" s="166" t="s">
        <v>482</v>
      </c>
      <c r="M1" s="166" t="s">
        <v>483</v>
      </c>
      <c r="N1" s="166" t="s">
        <v>583</v>
      </c>
      <c r="O1" s="166" t="s">
        <v>584</v>
      </c>
    </row>
    <row r="2" spans="1:15" ht="31.5" customHeight="1">
      <c r="A2" s="166" t="s">
        <v>485</v>
      </c>
      <c r="B2" s="278"/>
      <c r="C2" s="279"/>
      <c r="D2" s="279"/>
      <c r="E2" s="279"/>
      <c r="F2" s="279"/>
      <c r="G2" s="280"/>
      <c r="H2" s="308" t="s">
        <v>580</v>
      </c>
      <c r="I2" s="279"/>
      <c r="J2" s="279"/>
      <c r="K2" s="280"/>
      <c r="L2" s="308" t="s">
        <v>581</v>
      </c>
      <c r="M2" s="279"/>
      <c r="N2" s="279"/>
      <c r="O2" s="280"/>
    </row>
    <row r="3" spans="1:15" ht="31.5" customHeight="1">
      <c r="A3" s="166" t="s">
        <v>489</v>
      </c>
      <c r="B3" s="320" t="s">
        <v>530</v>
      </c>
      <c r="C3" s="279"/>
      <c r="D3" s="279"/>
      <c r="E3" s="279"/>
      <c r="F3" s="280"/>
      <c r="G3" s="300"/>
      <c r="H3" s="279"/>
      <c r="I3" s="279"/>
      <c r="J3" s="279"/>
      <c r="K3" s="279"/>
      <c r="L3" s="279"/>
      <c r="M3" s="279"/>
      <c r="N3" s="279"/>
      <c r="O3" s="280"/>
    </row>
    <row r="4" spans="1:15" ht="30" customHeight="1">
      <c r="A4" s="166" t="s">
        <v>491</v>
      </c>
      <c r="B4" s="278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80"/>
    </row>
    <row r="5" spans="1:15" ht="32.25" customHeight="1">
      <c r="A5" s="166" t="s">
        <v>493</v>
      </c>
      <c r="B5" s="278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80"/>
    </row>
    <row r="6" spans="1:15" ht="32.25" customHeight="1">
      <c r="A6" s="166" t="s">
        <v>495</v>
      </c>
      <c r="B6" s="278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80"/>
    </row>
    <row r="7" spans="1:15" ht="31.5" customHeight="1">
      <c r="A7" s="166" t="s">
        <v>497</v>
      </c>
      <c r="B7" s="278"/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80"/>
    </row>
    <row r="8" spans="1:15" ht="31.5" customHeight="1">
      <c r="A8" s="166" t="s">
        <v>499</v>
      </c>
      <c r="B8" s="278"/>
      <c r="C8" s="279"/>
      <c r="D8" s="279"/>
      <c r="E8" s="279"/>
      <c r="F8" s="279"/>
      <c r="G8" s="280"/>
      <c r="H8" s="306" t="s">
        <v>580</v>
      </c>
      <c r="I8" s="279"/>
      <c r="J8" s="280"/>
      <c r="K8" s="306" t="s">
        <v>581</v>
      </c>
      <c r="L8" s="279"/>
      <c r="M8" s="279"/>
      <c r="N8" s="280"/>
      <c r="O8" s="166"/>
    </row>
    <row r="9" spans="1:15" ht="30.75" customHeight="1">
      <c r="A9" s="166" t="s">
        <v>501</v>
      </c>
      <c r="B9" s="278"/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80"/>
    </row>
    <row r="10" spans="1:15" ht="32.25" customHeight="1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</row>
    <row r="11" spans="1:15" ht="15.75" customHeight="1"/>
    <row r="12" spans="1:15" ht="15.75" customHeight="1"/>
    <row r="13" spans="1:15" ht="15.75" customHeight="1"/>
    <row r="14" spans="1:15" ht="15.75" customHeight="1"/>
    <row r="15" spans="1:15" ht="15.75" customHeight="1"/>
    <row r="16" spans="1:1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9:O9"/>
    <mergeCell ref="B10:O10"/>
    <mergeCell ref="B2:G2"/>
    <mergeCell ref="H2:K2"/>
    <mergeCell ref="L2:O2"/>
    <mergeCell ref="B3:F3"/>
    <mergeCell ref="G3:O3"/>
    <mergeCell ref="B4:O4"/>
    <mergeCell ref="B5:O5"/>
    <mergeCell ref="B6:O6"/>
    <mergeCell ref="B7:O7"/>
    <mergeCell ref="B8:G8"/>
    <mergeCell ref="H8:J8"/>
    <mergeCell ref="K8:N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AF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.109375" customWidth="1"/>
    <col min="2" max="6" width="9" customWidth="1"/>
    <col min="7" max="7" width="9.109375" customWidth="1"/>
    <col min="8" max="8" width="10" customWidth="1"/>
    <col min="9" max="9" width="10.88671875" customWidth="1"/>
    <col min="10" max="10" width="11" customWidth="1"/>
    <col min="11" max="11" width="10.88671875" customWidth="1"/>
    <col min="12" max="12" width="11.109375" customWidth="1"/>
    <col min="13" max="32" width="10.88671875" customWidth="1"/>
  </cols>
  <sheetData>
    <row r="1" spans="1:32" ht="53.25" customHeight="1">
      <c r="A1" s="166" t="s">
        <v>473</v>
      </c>
      <c r="B1" s="166" t="s">
        <v>506</v>
      </c>
      <c r="C1" s="166" t="s">
        <v>507</v>
      </c>
      <c r="D1" s="166" t="s">
        <v>508</v>
      </c>
      <c r="E1" s="166" t="s">
        <v>509</v>
      </c>
      <c r="F1" s="166" t="s">
        <v>510</v>
      </c>
      <c r="G1" s="166" t="s">
        <v>511</v>
      </c>
      <c r="H1" s="166" t="s">
        <v>512</v>
      </c>
      <c r="I1" s="166" t="s">
        <v>513</v>
      </c>
      <c r="J1" s="166" t="s">
        <v>514</v>
      </c>
      <c r="K1" s="166" t="s">
        <v>515</v>
      </c>
      <c r="L1" s="166" t="s">
        <v>516</v>
      </c>
      <c r="M1" s="166" t="s">
        <v>517</v>
      </c>
      <c r="N1" s="166" t="s">
        <v>518</v>
      </c>
      <c r="O1" s="166" t="s">
        <v>519</v>
      </c>
      <c r="P1" s="166" t="s">
        <v>520</v>
      </c>
      <c r="Q1" s="166" t="s">
        <v>521</v>
      </c>
      <c r="R1" s="166" t="s">
        <v>522</v>
      </c>
      <c r="S1" s="166" t="s">
        <v>523</v>
      </c>
      <c r="T1" s="166" t="s">
        <v>524</v>
      </c>
      <c r="U1" s="166" t="s">
        <v>525</v>
      </c>
      <c r="V1" s="166" t="s">
        <v>474</v>
      </c>
      <c r="W1" s="166" t="s">
        <v>475</v>
      </c>
      <c r="X1" s="166" t="s">
        <v>476</v>
      </c>
      <c r="Y1" s="166" t="s">
        <v>477</v>
      </c>
      <c r="Z1" s="166" t="s">
        <v>478</v>
      </c>
      <c r="AA1" s="166" t="s">
        <v>479</v>
      </c>
      <c r="AB1" s="166" t="s">
        <v>480</v>
      </c>
      <c r="AC1" s="166" t="s">
        <v>481</v>
      </c>
      <c r="AD1" s="166" t="s">
        <v>482</v>
      </c>
      <c r="AE1" s="166" t="s">
        <v>483</v>
      </c>
      <c r="AF1" s="294"/>
    </row>
    <row r="2" spans="1:32" ht="36.75" customHeight="1">
      <c r="A2" s="166" t="s">
        <v>485</v>
      </c>
      <c r="B2" s="278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80"/>
      <c r="W2" s="308" t="s">
        <v>232</v>
      </c>
      <c r="X2" s="279"/>
      <c r="Y2" s="279"/>
      <c r="Z2" s="280"/>
      <c r="AA2" s="166"/>
      <c r="AB2" s="308" t="s">
        <v>235</v>
      </c>
      <c r="AC2" s="279"/>
      <c r="AD2" s="279"/>
      <c r="AE2" s="280"/>
      <c r="AF2" s="230"/>
    </row>
    <row r="3" spans="1:32" ht="36" customHeight="1">
      <c r="A3" s="166" t="s">
        <v>489</v>
      </c>
      <c r="B3" s="309" t="s">
        <v>232</v>
      </c>
      <c r="C3" s="279"/>
      <c r="D3" s="279"/>
      <c r="E3" s="279"/>
      <c r="F3" s="280"/>
      <c r="G3" s="300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309" t="s">
        <v>235</v>
      </c>
      <c r="V3" s="279"/>
      <c r="W3" s="279"/>
      <c r="X3" s="279"/>
      <c r="Y3" s="279"/>
      <c r="Z3" s="280"/>
      <c r="AA3" s="300"/>
      <c r="AB3" s="279"/>
      <c r="AC3" s="279"/>
      <c r="AD3" s="279"/>
      <c r="AE3" s="280"/>
      <c r="AF3" s="230"/>
    </row>
    <row r="4" spans="1:32" ht="36" customHeight="1">
      <c r="A4" s="166" t="s">
        <v>531</v>
      </c>
      <c r="B4" s="166"/>
      <c r="C4" s="312" t="s">
        <v>232</v>
      </c>
      <c r="D4" s="279"/>
      <c r="E4" s="279"/>
      <c r="F4" s="280"/>
      <c r="G4" s="228" t="s">
        <v>585</v>
      </c>
      <c r="H4" s="228" t="s">
        <v>586</v>
      </c>
      <c r="I4" s="300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312" t="s">
        <v>235</v>
      </c>
      <c r="V4" s="279"/>
      <c r="W4" s="279"/>
      <c r="X4" s="280"/>
      <c r="Y4" s="278"/>
      <c r="Z4" s="279"/>
      <c r="AA4" s="279"/>
      <c r="AB4" s="279"/>
      <c r="AC4" s="279"/>
      <c r="AD4" s="279"/>
      <c r="AE4" s="280"/>
      <c r="AF4" s="230"/>
    </row>
    <row r="5" spans="1:32" ht="36.75" customHeight="1">
      <c r="A5" s="166" t="s">
        <v>493</v>
      </c>
      <c r="B5" s="278"/>
      <c r="C5" s="279"/>
      <c r="D5" s="279"/>
      <c r="E5" s="279"/>
      <c r="F5" s="279"/>
      <c r="G5" s="279"/>
      <c r="H5" s="279"/>
      <c r="I5" s="280"/>
      <c r="J5" s="315" t="s">
        <v>232</v>
      </c>
      <c r="K5" s="279"/>
      <c r="L5" s="280"/>
      <c r="M5" s="315" t="s">
        <v>235</v>
      </c>
      <c r="N5" s="279"/>
      <c r="O5" s="280"/>
      <c r="P5" s="278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80"/>
      <c r="AF5" s="230"/>
    </row>
    <row r="6" spans="1:32" ht="36" customHeight="1">
      <c r="A6" s="166" t="s">
        <v>495</v>
      </c>
      <c r="B6" s="278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80"/>
      <c r="AF6" s="230"/>
    </row>
    <row r="7" spans="1:32" ht="36" customHeight="1">
      <c r="A7" s="166" t="s">
        <v>497</v>
      </c>
      <c r="B7" s="166"/>
      <c r="C7" s="311" t="s">
        <v>232</v>
      </c>
      <c r="D7" s="279"/>
      <c r="E7" s="279"/>
      <c r="F7" s="279"/>
      <c r="G7" s="279"/>
      <c r="H7" s="279"/>
      <c r="I7" s="279"/>
      <c r="J7" s="280"/>
      <c r="K7" s="278"/>
      <c r="L7" s="279"/>
      <c r="M7" s="279"/>
      <c r="N7" s="279"/>
      <c r="O7" s="279"/>
      <c r="P7" s="280"/>
      <c r="Q7" s="311" t="s">
        <v>94</v>
      </c>
      <c r="R7" s="279"/>
      <c r="S7" s="279"/>
      <c r="T7" s="279"/>
      <c r="U7" s="279"/>
      <c r="V7" s="279"/>
      <c r="W7" s="279"/>
      <c r="X7" s="280"/>
      <c r="Y7" s="278"/>
      <c r="Z7" s="279"/>
      <c r="AA7" s="279"/>
      <c r="AB7" s="279"/>
      <c r="AC7" s="279"/>
      <c r="AD7" s="279"/>
      <c r="AE7" s="280"/>
      <c r="AF7" s="230"/>
    </row>
    <row r="8" spans="1:32" ht="36" customHeight="1">
      <c r="A8" s="166" t="s">
        <v>499</v>
      </c>
      <c r="B8" s="166"/>
      <c r="C8" s="306" t="s">
        <v>232</v>
      </c>
      <c r="D8" s="279"/>
      <c r="E8" s="279"/>
      <c r="F8" s="280"/>
      <c r="G8" s="300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80"/>
      <c r="U8" s="313" t="s">
        <v>232</v>
      </c>
      <c r="V8" s="279"/>
      <c r="W8" s="280"/>
      <c r="X8" s="313" t="s">
        <v>235</v>
      </c>
      <c r="Y8" s="279"/>
      <c r="Z8" s="280"/>
      <c r="AA8" s="306" t="s">
        <v>235</v>
      </c>
      <c r="AB8" s="279"/>
      <c r="AC8" s="279"/>
      <c r="AD8" s="280"/>
      <c r="AE8" s="166"/>
      <c r="AF8" s="230"/>
    </row>
    <row r="9" spans="1:32" ht="32.25" customHeight="1">
      <c r="A9" s="166" t="s">
        <v>501</v>
      </c>
      <c r="B9" s="278"/>
      <c r="C9" s="279"/>
      <c r="D9" s="279"/>
      <c r="E9" s="279"/>
      <c r="F9" s="279"/>
      <c r="G9" s="279"/>
      <c r="H9" s="279"/>
      <c r="I9" s="279"/>
      <c r="J9" s="280"/>
      <c r="K9" s="316" t="s">
        <v>587</v>
      </c>
      <c r="L9" s="279"/>
      <c r="M9" s="279"/>
      <c r="N9" s="279"/>
      <c r="O9" s="279"/>
      <c r="P9" s="279"/>
      <c r="Q9" s="279"/>
      <c r="R9" s="279"/>
      <c r="S9" s="279"/>
      <c r="T9" s="280"/>
      <c r="U9" s="278"/>
      <c r="V9" s="279"/>
      <c r="W9" s="279"/>
      <c r="X9" s="279"/>
      <c r="Y9" s="279"/>
      <c r="Z9" s="279"/>
      <c r="AA9" s="279"/>
      <c r="AB9" s="279"/>
      <c r="AC9" s="279"/>
      <c r="AD9" s="279"/>
      <c r="AE9" s="280"/>
      <c r="AF9" s="230"/>
    </row>
    <row r="10" spans="1:32" ht="29.25" customHeight="1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</row>
    <row r="11" spans="1:32" ht="15.75" customHeight="1"/>
    <row r="12" spans="1:32" ht="15.75" customHeight="1"/>
    <row r="13" spans="1:32" ht="15.75" customHeight="1"/>
    <row r="14" spans="1:32" ht="15.75" customHeight="1"/>
    <row r="15" spans="1:32" ht="15.75" customHeight="1"/>
    <row r="16" spans="1:3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0:AE10"/>
    <mergeCell ref="AF1:AF10"/>
    <mergeCell ref="B2:V2"/>
    <mergeCell ref="W2:Z2"/>
    <mergeCell ref="AB2:AE2"/>
    <mergeCell ref="U3:Z3"/>
    <mergeCell ref="AA3:AE3"/>
    <mergeCell ref="Y4:AE4"/>
    <mergeCell ref="B3:F3"/>
    <mergeCell ref="C4:F4"/>
    <mergeCell ref="I4:T4"/>
    <mergeCell ref="U4:X4"/>
    <mergeCell ref="G3:T3"/>
    <mergeCell ref="B5:I5"/>
    <mergeCell ref="J5:L5"/>
    <mergeCell ref="M5:O5"/>
    <mergeCell ref="P5:AE5"/>
    <mergeCell ref="B6:AE6"/>
    <mergeCell ref="AA8:AD8"/>
    <mergeCell ref="B9:J9"/>
    <mergeCell ref="K9:T9"/>
    <mergeCell ref="U9:AE9"/>
    <mergeCell ref="C7:J7"/>
    <mergeCell ref="K7:P7"/>
    <mergeCell ref="Q7:X7"/>
    <mergeCell ref="Y7:AE7"/>
    <mergeCell ref="C8:F8"/>
    <mergeCell ref="G8:T8"/>
    <mergeCell ref="U8:W8"/>
    <mergeCell ref="X8:Z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AF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/>
  <cols>
    <col min="1" max="1" width="31" customWidth="1"/>
    <col min="2" max="8" width="9" customWidth="1"/>
    <col min="9" max="9" width="9.88671875" customWidth="1"/>
    <col min="10" max="10" width="10.88671875" customWidth="1"/>
    <col min="11" max="11" width="10.77734375" customWidth="1"/>
    <col min="12" max="12" width="10.6640625" customWidth="1"/>
    <col min="13" max="13" width="10.77734375" customWidth="1"/>
    <col min="14" max="32" width="10.88671875" customWidth="1"/>
  </cols>
  <sheetData>
    <row r="1" spans="1:32" ht="43.5" customHeight="1">
      <c r="A1" s="212" t="s">
        <v>473</v>
      </c>
      <c r="B1" s="212" t="s">
        <v>588</v>
      </c>
      <c r="C1" s="212" t="s">
        <v>506</v>
      </c>
      <c r="D1" s="212" t="s">
        <v>507</v>
      </c>
      <c r="E1" s="212" t="s">
        <v>508</v>
      </c>
      <c r="F1" s="212" t="s">
        <v>509</v>
      </c>
      <c r="G1" s="212" t="s">
        <v>510</v>
      </c>
      <c r="H1" s="212" t="s">
        <v>511</v>
      </c>
      <c r="I1" s="212" t="s">
        <v>512</v>
      </c>
      <c r="J1" s="212" t="s">
        <v>513</v>
      </c>
      <c r="K1" s="212" t="s">
        <v>514</v>
      </c>
      <c r="L1" s="212" t="s">
        <v>515</v>
      </c>
      <c r="M1" s="212" t="s">
        <v>516</v>
      </c>
      <c r="N1" s="212" t="s">
        <v>517</v>
      </c>
      <c r="O1" s="212" t="s">
        <v>518</v>
      </c>
      <c r="P1" s="212" t="s">
        <v>519</v>
      </c>
      <c r="Q1" s="212" t="s">
        <v>520</v>
      </c>
      <c r="R1" s="212" t="s">
        <v>521</v>
      </c>
      <c r="S1" s="212" t="s">
        <v>522</v>
      </c>
      <c r="T1" s="212" t="s">
        <v>523</v>
      </c>
      <c r="U1" s="212" t="s">
        <v>524</v>
      </c>
      <c r="V1" s="212" t="s">
        <v>525</v>
      </c>
      <c r="W1" s="212" t="s">
        <v>474</v>
      </c>
      <c r="X1" s="212" t="s">
        <v>475</v>
      </c>
      <c r="Y1" s="212" t="s">
        <v>476</v>
      </c>
      <c r="Z1" s="212" t="s">
        <v>477</v>
      </c>
      <c r="AA1" s="212" t="s">
        <v>478</v>
      </c>
      <c r="AB1" s="212" t="s">
        <v>479</v>
      </c>
      <c r="AC1" s="212" t="s">
        <v>480</v>
      </c>
      <c r="AD1" s="212" t="s">
        <v>481</v>
      </c>
      <c r="AE1" s="212" t="s">
        <v>482</v>
      </c>
      <c r="AF1" s="294"/>
    </row>
    <row r="2" spans="1:32" ht="35.25" customHeight="1">
      <c r="A2" s="212" t="s">
        <v>485</v>
      </c>
      <c r="B2" s="317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80"/>
      <c r="AF2" s="230"/>
    </row>
    <row r="3" spans="1:32" ht="36" customHeight="1">
      <c r="A3" s="212" t="s">
        <v>489</v>
      </c>
      <c r="B3" s="317"/>
      <c r="C3" s="279"/>
      <c r="D3" s="279"/>
      <c r="E3" s="280"/>
      <c r="F3" s="321" t="s">
        <v>94</v>
      </c>
      <c r="G3" s="279"/>
      <c r="H3" s="279"/>
      <c r="I3" s="279"/>
      <c r="J3" s="279"/>
      <c r="K3" s="280"/>
      <c r="L3" s="317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80"/>
      <c r="AF3" s="230"/>
    </row>
    <row r="4" spans="1:32" ht="36.75" customHeight="1">
      <c r="A4" s="212" t="s">
        <v>531</v>
      </c>
      <c r="B4" s="317"/>
      <c r="C4" s="279"/>
      <c r="D4" s="279"/>
      <c r="E4" s="279"/>
      <c r="F4" s="279"/>
      <c r="G4" s="279"/>
      <c r="H4" s="322" t="s">
        <v>94</v>
      </c>
      <c r="I4" s="280"/>
      <c r="J4" s="318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80"/>
      <c r="AF4" s="230"/>
    </row>
    <row r="5" spans="1:32" ht="37.5" customHeight="1">
      <c r="A5" s="212" t="s">
        <v>493</v>
      </c>
      <c r="B5" s="317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80"/>
      <c r="AF5" s="230"/>
    </row>
    <row r="6" spans="1:32" ht="34.5" customHeight="1">
      <c r="A6" s="212" t="s">
        <v>495</v>
      </c>
      <c r="B6" s="317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80"/>
      <c r="AF6" s="230"/>
    </row>
    <row r="7" spans="1:32" ht="34.5" customHeight="1">
      <c r="A7" s="212" t="s">
        <v>497</v>
      </c>
      <c r="B7" s="317"/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80"/>
      <c r="U7" s="323" t="s">
        <v>589</v>
      </c>
      <c r="V7" s="279"/>
      <c r="W7" s="279"/>
      <c r="X7" s="279"/>
      <c r="Y7" s="279"/>
      <c r="Z7" s="279"/>
      <c r="AA7" s="279"/>
      <c r="AB7" s="279"/>
      <c r="AC7" s="279"/>
      <c r="AD7" s="279"/>
      <c r="AE7" s="280"/>
      <c r="AF7" s="230"/>
    </row>
    <row r="8" spans="1:32" ht="34.5" customHeight="1">
      <c r="A8" s="212" t="s">
        <v>499</v>
      </c>
      <c r="B8" s="317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80"/>
      <c r="AF8" s="230"/>
    </row>
    <row r="9" spans="1:32" ht="33" customHeight="1">
      <c r="A9" s="212" t="s">
        <v>501</v>
      </c>
      <c r="B9" s="317"/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80"/>
      <c r="AF9" s="230"/>
    </row>
    <row r="10" spans="1:32" ht="31.5" customHeight="1"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</row>
    <row r="11" spans="1:32" ht="15.75" customHeight="1"/>
    <row r="12" spans="1:32" ht="15.75" customHeight="1"/>
    <row r="13" spans="1:32" ht="15.75" customHeight="1"/>
    <row r="14" spans="1:32" ht="15.75" customHeight="1"/>
    <row r="15" spans="1:32" ht="15.75" customHeight="1"/>
    <row r="16" spans="1:3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10:AF10"/>
    <mergeCell ref="B8:AE8"/>
    <mergeCell ref="B9:AE9"/>
    <mergeCell ref="AF1:AF9"/>
    <mergeCell ref="B2:AE2"/>
    <mergeCell ref="B3:E3"/>
    <mergeCell ref="F3:K3"/>
    <mergeCell ref="L3:AE3"/>
    <mergeCell ref="B4:G4"/>
    <mergeCell ref="H4:I4"/>
    <mergeCell ref="J4:AE4"/>
    <mergeCell ref="B5:AE5"/>
    <mergeCell ref="B6:AE6"/>
    <mergeCell ref="B7:T7"/>
    <mergeCell ref="U7:A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Team Colors</vt:lpstr>
      <vt:lpstr>Overall Table</vt:lpstr>
      <vt:lpstr>Pools and Sports</vt:lpstr>
      <vt:lpstr>Athletics</vt:lpstr>
      <vt:lpstr>Athletics Results</vt:lpstr>
      <vt:lpstr>ATHLETICS TABLE</vt:lpstr>
      <vt:lpstr>Badminton(MEN)</vt:lpstr>
      <vt:lpstr>Badminton(MEN) Table</vt:lpstr>
      <vt:lpstr>Badminton(Women)</vt:lpstr>
      <vt:lpstr>Badminton(WOMEN) Table</vt:lpstr>
      <vt:lpstr>Basketball (Men)</vt:lpstr>
      <vt:lpstr>Basketball Table (Men)</vt:lpstr>
      <vt:lpstr>Basketball (Women)</vt:lpstr>
      <vt:lpstr>Basketball Table (Women)</vt:lpstr>
      <vt:lpstr>Chess</vt:lpstr>
      <vt:lpstr>Chess Table</vt:lpstr>
      <vt:lpstr>Cricket</vt:lpstr>
      <vt:lpstr>Cricket Table</vt:lpstr>
      <vt:lpstr>Football</vt:lpstr>
      <vt:lpstr>Football Table</vt:lpstr>
      <vt:lpstr>Table Tennis - Previous</vt:lpstr>
      <vt:lpstr>Table Tennis(Mens)</vt:lpstr>
      <vt:lpstr>Table Tennis(Womens)</vt:lpstr>
      <vt:lpstr>Table Tennis(Womens) Table</vt:lpstr>
      <vt:lpstr>Volleyball (Men)</vt:lpstr>
      <vt:lpstr>Volleyball Table (Men)</vt:lpstr>
      <vt:lpstr>Volleyball (Women)</vt:lpstr>
      <vt:lpstr>Volleyball Table (Women)</vt:lpstr>
      <vt:lpstr>Feb 28</vt:lpstr>
      <vt:lpstr>March 1</vt:lpstr>
      <vt:lpstr>March 2</vt:lpstr>
      <vt:lpstr>March 3</vt:lpstr>
      <vt:lpstr>March 4</vt:lpstr>
      <vt:lpstr>March 5</vt:lpstr>
      <vt:lpstr>March 6</vt:lpstr>
      <vt:lpstr>March 7</vt:lpstr>
      <vt:lpstr>March 8</vt:lpstr>
      <vt:lpstr>March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REDDY</dc:creator>
  <cp:lastModifiedBy>ADARSH REDDY</cp:lastModifiedBy>
  <dcterms:created xsi:type="dcterms:W3CDTF">2025-12-20T07:15:44Z</dcterms:created>
  <dcterms:modified xsi:type="dcterms:W3CDTF">2025-12-20T11:37:52Z</dcterms:modified>
</cp:coreProperties>
</file>