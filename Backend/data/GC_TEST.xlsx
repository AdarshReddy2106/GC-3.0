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C WEB\Backend\data\"/>
    </mc:Choice>
  </mc:AlternateContent>
  <xr:revisionPtr revIDLastSave="0" documentId="13_ncr:1_{BE593259-74D7-4565-865D-EDC10595373C}" xr6:coauthVersionLast="47" xr6:coauthVersionMax="47" xr10:uidLastSave="{00000000-0000-0000-0000-000000000000}"/>
  <bookViews>
    <workbookView xWindow="-108" yWindow="-108" windowWidth="23256" windowHeight="12456" firstSheet="11" activeTab="12" xr2:uid="{19AC486F-21D9-43D7-A072-27F5986CB41D}"/>
  </bookViews>
  <sheets>
    <sheet name="AT_ALL_SCHEDULE" sheetId="35" r:id="rId1"/>
    <sheet name="AT_LEADERBOARD" sheetId="32" r:id="rId2"/>
    <sheet name="AT_RESULTS" sheetId="31" r:id="rId3"/>
    <sheet name="BB_MEN_LEADERBOARD" sheetId="28" r:id="rId4"/>
    <sheet name="BB_MEN_SCHEDULE" sheetId="26" r:id="rId5"/>
    <sheet name="BB_WOMEN_LEADERBOARD" sheetId="29" r:id="rId6"/>
    <sheet name="BB_WOMEN_SCHEDULE" sheetId="27" r:id="rId7"/>
    <sheet name="BT_MEN_LEADERBOARD" sheetId="13" r:id="rId8"/>
    <sheet name="BT_MEN_SCHEDULE" sheetId="7" r:id="rId9"/>
    <sheet name="BT_WOMEN_LEADERBOARD" sheetId="11" r:id="rId10"/>
    <sheet name="BT_WOMEN_SCHEDULE" sheetId="9" r:id="rId11"/>
    <sheet name="CH_MEN_LEADERBOARD" sheetId="25" r:id="rId12"/>
    <sheet name="CH_MEN_SCHEDULE" sheetId="24" r:id="rId13"/>
    <sheet name="CR_MEN_LEADERBOARD" sheetId="23" r:id="rId14"/>
    <sheet name="CR_MEN_SCHEDULE" sheetId="22" r:id="rId15"/>
    <sheet name="FB_MEN_LEADERBOARD" sheetId="21" r:id="rId16"/>
    <sheet name="FB_MEN_SCHEDULE" sheetId="20" r:id="rId17"/>
    <sheet name="TT_MEN_LEADERBOARD" sheetId="17" r:id="rId18"/>
    <sheet name="TT_MEN_SCHEDULE" sheetId="15" r:id="rId19"/>
    <sheet name="TT_WOMEN_LEADERBOARD" sheetId="19" r:id="rId20"/>
    <sheet name="TT_WOMEN_SCHEDULE" sheetId="16" r:id="rId21"/>
    <sheet name="VB_MEN_LEADERBOARD" sheetId="14" r:id="rId22"/>
    <sheet name="VB_MEN_SCHEDULE" sheetId="1" r:id="rId23"/>
    <sheet name="VB_WOMEN_LEADERBOARD" sheetId="6" r:id="rId24"/>
    <sheet name="VB_WOMEN_SCHEDULE" sheetId="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32" l="1"/>
  <c r="R11" i="32"/>
  <c r="R10" i="32"/>
  <c r="R9" i="32"/>
  <c r="R8" i="32"/>
  <c r="R7" i="32"/>
  <c r="R6" i="32"/>
  <c r="R5" i="32"/>
  <c r="R4" i="32"/>
  <c r="J6" i="29"/>
  <c r="J5" i="29"/>
  <c r="J4" i="29"/>
  <c r="J3" i="29"/>
  <c r="J2" i="29"/>
  <c r="F9" i="25"/>
  <c r="F8" i="25"/>
  <c r="F7" i="25"/>
  <c r="F6" i="25"/>
  <c r="F5" i="25"/>
  <c r="F4" i="25"/>
  <c r="F2" i="25"/>
</calcChain>
</file>

<file path=xl/sharedStrings.xml><?xml version="1.0" encoding="utf-8"?>
<sst xmlns="http://schemas.openxmlformats.org/spreadsheetml/2006/main" count="1527" uniqueCount="414">
  <si>
    <t>VOLLEYBALL - MEN</t>
  </si>
  <si>
    <t>MATCH NO.</t>
  </si>
  <si>
    <t>TEAM I</t>
  </si>
  <si>
    <t>-</t>
  </si>
  <si>
    <t>TEAM II</t>
  </si>
  <si>
    <t>DATE</t>
  </si>
  <si>
    <t>TIME</t>
  </si>
  <si>
    <t>VENUE</t>
  </si>
  <si>
    <t>SCORE</t>
  </si>
  <si>
    <t>GROUP STAGE</t>
  </si>
  <si>
    <t>Starlwart Rhinos</t>
  </si>
  <si>
    <t>vs</t>
  </si>
  <si>
    <t>Tigers</t>
  </si>
  <si>
    <t>7:30pm - 8:30pm</t>
  </si>
  <si>
    <t>Nila Volleyball Court</t>
  </si>
  <si>
    <t>2-0</t>
  </si>
  <si>
    <t>Eagles</t>
  </si>
  <si>
    <t>Brave Bulls</t>
  </si>
  <si>
    <t>6pm - 7:15pm</t>
  </si>
  <si>
    <t>Panthers</t>
  </si>
  <si>
    <t>4:30pm - 5:30pm</t>
  </si>
  <si>
    <t>0-2</t>
  </si>
  <si>
    <t>Mighty Lions</t>
  </si>
  <si>
    <t>Sharks</t>
  </si>
  <si>
    <t>5:30pm - 6:30pm</t>
  </si>
  <si>
    <t>Wild wolves</t>
  </si>
  <si>
    <t>6:30pm - 7:30pm</t>
  </si>
  <si>
    <t>WILD WOLVES</t>
  </si>
  <si>
    <t>6:00pm - 7:00pm</t>
  </si>
  <si>
    <t>5pm - 6:15pm</t>
  </si>
  <si>
    <t>8:30pm - 9:30pm</t>
  </si>
  <si>
    <t>TEAM</t>
  </si>
  <si>
    <t>MATCH PLAYED</t>
  </si>
  <si>
    <t>MATCH WON</t>
  </si>
  <si>
    <t>MATCH LOST</t>
  </si>
  <si>
    <t>POINT</t>
  </si>
  <si>
    <t>2-0(WINS)</t>
  </si>
  <si>
    <t>2-1(WINS)</t>
  </si>
  <si>
    <t>1-2(LOSS)</t>
  </si>
  <si>
    <t>0-2(LOSS)</t>
  </si>
  <si>
    <t>WOLVES</t>
  </si>
  <si>
    <t>EAGLES</t>
  </si>
  <si>
    <t>TIGERS</t>
  </si>
  <si>
    <t>BULLS</t>
  </si>
  <si>
    <t>RHINOS</t>
  </si>
  <si>
    <t>LIONS</t>
  </si>
  <si>
    <t>PANTHERS</t>
  </si>
  <si>
    <t>SHARKS</t>
  </si>
  <si>
    <t>VOLLEYBALL - WOMEN</t>
  </si>
  <si>
    <t>Stealthy Panthers</t>
  </si>
  <si>
    <t>Rhinos</t>
  </si>
  <si>
    <t>6:30am - 7:30am</t>
  </si>
  <si>
    <t>Savage Sharks</t>
  </si>
  <si>
    <t>7:30am - 8:30am</t>
  </si>
  <si>
    <t>Bulls</t>
  </si>
  <si>
    <t>SEMI FINALS</t>
  </si>
  <si>
    <t>Wild Wolves</t>
  </si>
  <si>
    <t>Stalwart Rhinos</t>
  </si>
  <si>
    <t>8:30am - 9:30am</t>
  </si>
  <si>
    <t>LOSER'S FINAL</t>
  </si>
  <si>
    <t>L13</t>
  </si>
  <si>
    <t>L14</t>
  </si>
  <si>
    <t>FINAL</t>
  </si>
  <si>
    <t>W13</t>
  </si>
  <si>
    <t>W14</t>
  </si>
  <si>
    <t>FOR</t>
  </si>
  <si>
    <t>AGAINST</t>
  </si>
  <si>
    <t>RATIO</t>
  </si>
  <si>
    <t>POOL</t>
  </si>
  <si>
    <t>A</t>
  </si>
  <si>
    <t>B</t>
  </si>
  <si>
    <t>BADMINTON(MEN)</t>
  </si>
  <si>
    <t>Majestic Eagles</t>
  </si>
  <si>
    <t>5:15pm - 7:15pm</t>
  </si>
  <si>
    <t>Agora Auditorium</t>
  </si>
  <si>
    <t>3-2</t>
  </si>
  <si>
    <t>6:45am - 8:45am</t>
  </si>
  <si>
    <t>0-3</t>
  </si>
  <si>
    <t>Ferocious Tigers</t>
  </si>
  <si>
    <t>9:00am - 11:00am</t>
  </si>
  <si>
    <t>3-1</t>
  </si>
  <si>
    <t>7am - 9:00am</t>
  </si>
  <si>
    <t>10:35am - 12:35pm</t>
  </si>
  <si>
    <t>2-3</t>
  </si>
  <si>
    <t>2:15pm - 4:15pm</t>
  </si>
  <si>
    <t>5:50pm - 7:50pm</t>
  </si>
  <si>
    <t>3-0</t>
  </si>
  <si>
    <t>Pool A Winner   (Rhinos)</t>
  </si>
  <si>
    <t>Pool B Runner Up (WILD WOLVES)</t>
  </si>
  <si>
    <t>Pool B Winner    (Sharks)</t>
  </si>
  <si>
    <t>Pool A Runner Up (Lions)</t>
  </si>
  <si>
    <t>Lions</t>
  </si>
  <si>
    <t>9am - 11:00pm</t>
  </si>
  <si>
    <t>MP</t>
  </si>
  <si>
    <t>MW</t>
  </si>
  <si>
    <t>ML</t>
  </si>
  <si>
    <t>POINTS</t>
  </si>
  <si>
    <t>GW</t>
  </si>
  <si>
    <t>GL</t>
  </si>
  <si>
    <t>GD</t>
  </si>
  <si>
    <t>BADMINTON(WOMEN)</t>
  </si>
  <si>
    <t>Stealthy panthers</t>
  </si>
  <si>
    <t>BYE</t>
  </si>
  <si>
    <t>4:30pm - 5:45pm</t>
  </si>
  <si>
    <t>Starwart Rhinos</t>
  </si>
  <si>
    <t>12:40pm - 1:55pm</t>
  </si>
  <si>
    <t>9:15am - 10:30am</t>
  </si>
  <si>
    <t>2-1</t>
  </si>
  <si>
    <t>12:50pm - 2:05pm</t>
  </si>
  <si>
    <t>8:05pm - 9:20pm</t>
  </si>
  <si>
    <t>Pool A Winner   (MIGHTY LIONS)</t>
  </si>
  <si>
    <t>Pool B Runner Up  (SAVAGE SHARKS)</t>
  </si>
  <si>
    <t>9:00am - 10:15am</t>
  </si>
  <si>
    <t>Pool B Winner    (STALWART RHINOS)</t>
  </si>
  <si>
    <t>Pool A Runner Up (STEALTHY PANTHERS)</t>
  </si>
  <si>
    <t>1:50am - 2:05pm</t>
  </si>
  <si>
    <t>Savage sharks</t>
  </si>
  <si>
    <t>11am - 12:00pm</t>
  </si>
  <si>
    <t>9:30am - 10:45am</t>
  </si>
  <si>
    <t>Malhar TT Room Table 1</t>
  </si>
  <si>
    <t>10:45am - 12:00am</t>
  </si>
  <si>
    <t>Malhar TT Room Table 2</t>
  </si>
  <si>
    <t>12noon - 1pm</t>
  </si>
  <si>
    <t>WINNERS</t>
  </si>
  <si>
    <t>2pm - 3:15pm</t>
  </si>
  <si>
    <t>RUNNERS</t>
  </si>
  <si>
    <t>5pm - 6pm</t>
  </si>
  <si>
    <t>4pm - 5:15pm</t>
  </si>
  <si>
    <t>6:00pm - 7:15pm</t>
  </si>
  <si>
    <t>7:15pm - 8:30pm</t>
  </si>
  <si>
    <t>Pool A Winner(Sharks)</t>
  </si>
  <si>
    <t>Pool B Runner Up(Tigers)</t>
  </si>
  <si>
    <t>Pool B Winner(Rhinos)</t>
  </si>
  <si>
    <t>Pool A Runner Up(Wolves)</t>
  </si>
  <si>
    <t>L13 (WOLVES)</t>
  </si>
  <si>
    <t>L14 (TIGERS)</t>
  </si>
  <si>
    <t>W13 (RHINOS)</t>
  </si>
  <si>
    <t>W14 (SHARKS)</t>
  </si>
  <si>
    <t>GAMES WON</t>
  </si>
  <si>
    <t>GAMES LOST</t>
  </si>
  <si>
    <t>GAME DIFFERENCE</t>
  </si>
  <si>
    <t>TABLE TENNIS</t>
  </si>
  <si>
    <t>Saveri TT Room Table 1</t>
  </si>
  <si>
    <t>Saveri TT Room Table 2</t>
  </si>
  <si>
    <t>Wolves</t>
  </si>
  <si>
    <t xml:space="preserve">L13 </t>
  </si>
  <si>
    <t xml:space="preserve">L14 </t>
  </si>
  <si>
    <t xml:space="preserve">W13 </t>
  </si>
  <si>
    <t xml:space="preserve">W14 </t>
  </si>
  <si>
    <t>FOOTBALL</t>
  </si>
  <si>
    <t>Nila Football Ground</t>
  </si>
  <si>
    <t>1-0</t>
  </si>
  <si>
    <t>4-0</t>
  </si>
  <si>
    <t>0-8</t>
  </si>
  <si>
    <t>0-4</t>
  </si>
  <si>
    <t>MD</t>
  </si>
  <si>
    <t>Pool A Winner   (Tigers)</t>
  </si>
  <si>
    <t>Pool B Runner Up   (Eagles)</t>
  </si>
  <si>
    <t>8:30pm - 10:30pm</t>
  </si>
  <si>
    <t>Pool B Winner    (Rhinos)</t>
  </si>
  <si>
    <t>Pool A Runner Up    (Panthers)</t>
  </si>
  <si>
    <t>6:30pm - 8:30pm</t>
  </si>
  <si>
    <t>L13 (PANTHERS)</t>
  </si>
  <si>
    <t>5pm - 6:45pm</t>
  </si>
  <si>
    <t>W13 (EAGLES)</t>
  </si>
  <si>
    <t>W14 (RHINOS)</t>
  </si>
  <si>
    <t>7:30pm - 9:15pm</t>
  </si>
  <si>
    <t>CRICKET</t>
  </si>
  <si>
    <t>SCORE (Batted first in Bracket)</t>
  </si>
  <si>
    <t>5:15pm - 7:00pm</t>
  </si>
  <si>
    <t>Sahyadri Ground</t>
  </si>
  <si>
    <t>Panthers won by 8 wickets</t>
  </si>
  <si>
    <t>6:10am - 8:00am</t>
  </si>
  <si>
    <t>Tigers won by 4 runs</t>
  </si>
  <si>
    <t>8:15am - 10:00am</t>
  </si>
  <si>
    <t>Eagles won by 8 wickets</t>
  </si>
  <si>
    <t>Stalwart rhinos</t>
  </si>
  <si>
    <t>4:30pm - 6:30pm</t>
  </si>
  <si>
    <t>Rhinos Won by 42 runs against Lions</t>
  </si>
  <si>
    <t>Stalwart Rhinos won by 5 wickets</t>
  </si>
  <si>
    <t>Majestic Eagles won by 8 wickets</t>
  </si>
  <si>
    <t>Brave Bulls won by 24 runs against Lions</t>
  </si>
  <si>
    <t>6:10am - 8:10am</t>
  </si>
  <si>
    <t>Savage Sharks won by 7 wickets</t>
  </si>
  <si>
    <t>Majestic Eagles won by 26 runs against Tigers</t>
  </si>
  <si>
    <t>13*</t>
  </si>
  <si>
    <t>Pool B Winner       (MAJESTIC EAGLES)</t>
  </si>
  <si>
    <t xml:space="preserve">Pool A Runner Up </t>
  </si>
  <si>
    <t>14*</t>
  </si>
  <si>
    <t xml:space="preserve">Pool A Winner   (STALWART RHINOS)           </t>
  </si>
  <si>
    <t xml:space="preserve">Pool B Runner Up          </t>
  </si>
  <si>
    <t>L14 (BULLS)</t>
  </si>
  <si>
    <t>3:00pm - 5:00pm</t>
  </si>
  <si>
    <t>W14 (EAGLES)</t>
  </si>
  <si>
    <t>6:30am - 9:30am</t>
  </si>
  <si>
    <t>NRR</t>
  </si>
  <si>
    <t>CHESS</t>
  </si>
  <si>
    <t>ROUND NO.</t>
  </si>
  <si>
    <t>STEALTHY PANTHERS (BTECH B22)</t>
  </si>
  <si>
    <t xml:space="preserve">FEROCIOUS TIGERS (MTECH) </t>
  </si>
  <si>
    <t>2pm - 2:45pm</t>
  </si>
  <si>
    <t>A01 - 001</t>
  </si>
  <si>
    <t>WILD WOLVES     (BTECH B23)</t>
  </si>
  <si>
    <t>BRAVE BULLS (MSc/MS)</t>
  </si>
  <si>
    <t>STALWART RHINOS (PhD)</t>
  </si>
  <si>
    <t xml:space="preserve">SAVAGE SHARKS (BTECH B21) </t>
  </si>
  <si>
    <t>MIGHTY LIONS (BTECH B24)</t>
  </si>
  <si>
    <t>MAJESTIC EAGLES (FACULTY/STAFF)</t>
  </si>
  <si>
    <t>3pm - 3:45pm</t>
  </si>
  <si>
    <t>ELIMINATION (IF TIED)</t>
  </si>
  <si>
    <t>MATCHES PLAYED</t>
  </si>
  <si>
    <t>MATCHES WON</t>
  </si>
  <si>
    <t>MATCHES DRAWN</t>
  </si>
  <si>
    <t>MATCHES LOST</t>
  </si>
  <si>
    <t>BOARDS WON</t>
  </si>
  <si>
    <t>BOARDS LOST</t>
  </si>
  <si>
    <t>BOARD DIFFERENCE</t>
  </si>
  <si>
    <t>MIGHTY LIONS    (BTECH B24)</t>
  </si>
  <si>
    <t>BRAVE BULLS       (MSc/MS)</t>
  </si>
  <si>
    <t>BASKETBALL - MEN</t>
  </si>
  <si>
    <t>5:15pm - 6:00pm</t>
  </si>
  <si>
    <t>Sahyadri Court</t>
  </si>
  <si>
    <t>15-33</t>
  </si>
  <si>
    <t>BraveBulls</t>
  </si>
  <si>
    <t>37-52</t>
  </si>
  <si>
    <t>31-55</t>
  </si>
  <si>
    <t>7:15am - 8:30am</t>
  </si>
  <si>
    <t>37-46</t>
  </si>
  <si>
    <t>WINNER</t>
  </si>
  <si>
    <t>8:00pm - 9:00pm</t>
  </si>
  <si>
    <t>75-37</t>
  </si>
  <si>
    <t>RUNNER</t>
  </si>
  <si>
    <t>95-26</t>
  </si>
  <si>
    <t>5:00pm - 6:00pm</t>
  </si>
  <si>
    <t>55-28</t>
  </si>
  <si>
    <t>6pm - 7pm</t>
  </si>
  <si>
    <t>35-59</t>
  </si>
  <si>
    <t>79-21</t>
  </si>
  <si>
    <t>71-23</t>
  </si>
  <si>
    <t>74-15</t>
  </si>
  <si>
    <t>Pool A Winner         (SAVAGE SHARKS)</t>
  </si>
  <si>
    <t>Pool B Runner Up       (WILD WOLVES)</t>
  </si>
  <si>
    <t>Pool B Winner            (STEALTHY PANTHERS)</t>
  </si>
  <si>
    <t>Pool A Runner Up         (FEROCIOUS TIGERS)</t>
  </si>
  <si>
    <t>5:00pm - 6:15pm</t>
  </si>
  <si>
    <t>L13 (WILD WOLVES)</t>
  </si>
  <si>
    <t>L14 (STEALTHY PANTHERS)</t>
  </si>
  <si>
    <t>6:00am - 7:00am</t>
  </si>
  <si>
    <t>W13 (SAVAGE SHARKS)</t>
  </si>
  <si>
    <t>W14 (FEROCIOUS TIGERS)</t>
  </si>
  <si>
    <t>BM</t>
  </si>
  <si>
    <t>MP(Counted)</t>
  </si>
  <si>
    <t>BA</t>
  </si>
  <si>
    <t>MIghty lions</t>
  </si>
  <si>
    <t>Stealthy Panther</t>
  </si>
  <si>
    <t>BASKETBALL - WOMEN</t>
  </si>
  <si>
    <t>8pm - 8:30pm</t>
  </si>
  <si>
    <t>Mighty lions</t>
  </si>
  <si>
    <t>8:30pm - 9:00pm</t>
  </si>
  <si>
    <t>11-0</t>
  </si>
  <si>
    <t>6pm - 6:30pm</t>
  </si>
  <si>
    <t>6:30pm - 7:00pm</t>
  </si>
  <si>
    <t>STEALTHY PANTHERS</t>
  </si>
  <si>
    <t>FEROCIOUS TIGERS</t>
  </si>
  <si>
    <t>1st</t>
  </si>
  <si>
    <t>4th</t>
  </si>
  <si>
    <t>6:15pm - 6:45pm</t>
  </si>
  <si>
    <t>2nd</t>
  </si>
  <si>
    <t>3rd</t>
  </si>
  <si>
    <t>6:45pm - 7:15pm</t>
  </si>
  <si>
    <t>L14 (MIGHTY LIONS)</t>
  </si>
  <si>
    <t>7:15am - 7:45am</t>
  </si>
  <si>
    <t>W13 (PANTHERS)</t>
  </si>
  <si>
    <t>W14 (TIGERS)</t>
  </si>
  <si>
    <t>7:30pm - 8:00pm</t>
  </si>
  <si>
    <t>MEN</t>
  </si>
  <si>
    <t>WOMEN</t>
  </si>
  <si>
    <t>EVENT</t>
  </si>
  <si>
    <t>HEATS</t>
  </si>
  <si>
    <t>100M</t>
  </si>
  <si>
    <t>7:10pm - 7:20pm</t>
  </si>
  <si>
    <t>7:25pm - 7:35pm</t>
  </si>
  <si>
    <t>400M</t>
  </si>
  <si>
    <t>5:50pm - 6:00pm</t>
  </si>
  <si>
    <t>6:00pm - 6:10pm</t>
  </si>
  <si>
    <t>200M</t>
  </si>
  <si>
    <t>4x100M</t>
  </si>
  <si>
    <t>800M</t>
  </si>
  <si>
    <t>FINALS</t>
  </si>
  <si>
    <t>6:00am - 6:15am</t>
  </si>
  <si>
    <t>6:15am - 6:30am</t>
  </si>
  <si>
    <t>6:30am - 6:45am</t>
  </si>
  <si>
    <t>6:45am - 7:00am</t>
  </si>
  <si>
    <t>7:10am - 7:15am</t>
  </si>
  <si>
    <t>7:15am - 7:20am</t>
  </si>
  <si>
    <t>7:20am - 7:30am</t>
  </si>
  <si>
    <t>7:30am - 7:45am</t>
  </si>
  <si>
    <t>7:45am - 8:00am</t>
  </si>
  <si>
    <t>1500M</t>
  </si>
  <si>
    <t>8:00am - 8:30am</t>
  </si>
  <si>
    <t>Discus Throw</t>
  </si>
  <si>
    <t>Hammer Throw</t>
  </si>
  <si>
    <t>Shot Put</t>
  </si>
  <si>
    <t>7pm - 8pm</t>
  </si>
  <si>
    <t>Javelin Throw</t>
  </si>
  <si>
    <r>
      <rPr>
        <sz val="20"/>
        <color rgb="FF000000"/>
        <rFont val="EB Garamond"/>
      </rPr>
      <t>S.NO</t>
    </r>
    <r>
      <rPr>
        <sz val="20"/>
        <color theme="1"/>
        <rFont val="EB Garamond"/>
      </rPr>
      <t>.</t>
    </r>
  </si>
  <si>
    <t>NAME</t>
  </si>
  <si>
    <t>HEATS (Selected to Finals)</t>
  </si>
  <si>
    <t>Ajul(SP)</t>
  </si>
  <si>
    <t>Prasanna(WW)</t>
  </si>
  <si>
    <t>Rajesh(WW)</t>
  </si>
  <si>
    <t>Steffy benny(SR)</t>
  </si>
  <si>
    <t>Sainadh(SP)</t>
  </si>
  <si>
    <t>Varsha(WW)</t>
  </si>
  <si>
    <t>Ratna Kishore (WW)</t>
  </si>
  <si>
    <t>Srinidi(ML)</t>
  </si>
  <si>
    <t>RAJESH(WW)</t>
  </si>
  <si>
    <t>VArsha(WW)</t>
  </si>
  <si>
    <t>Trilochan(WW)</t>
  </si>
  <si>
    <t>AJUL(SP)</t>
  </si>
  <si>
    <t>STEffy benny(SR)</t>
  </si>
  <si>
    <t>SAinadh(SP)</t>
  </si>
  <si>
    <t>ISHA(ML)</t>
  </si>
  <si>
    <t>TEJ(ML)</t>
  </si>
  <si>
    <t>SIVAKAMI(FT)</t>
  </si>
  <si>
    <t>Prichand(SP)</t>
  </si>
  <si>
    <t>Sainath(SP)</t>
  </si>
  <si>
    <t>Anusha(SP)</t>
  </si>
  <si>
    <t>Dipanshu(SS)</t>
  </si>
  <si>
    <t>Isha(ML)</t>
  </si>
  <si>
    <t>Puneeth (ML)</t>
  </si>
  <si>
    <t>Kashishdeep Kaur(ML)</t>
  </si>
  <si>
    <t>Pawan(SR)</t>
  </si>
  <si>
    <t>Emannuel (ML)</t>
  </si>
  <si>
    <t>4x100M RELAY</t>
  </si>
  <si>
    <t>SP</t>
  </si>
  <si>
    <t>WW</t>
  </si>
  <si>
    <t>SR</t>
  </si>
  <si>
    <t>Sainath</t>
  </si>
  <si>
    <t>Steffy Benny (SR)</t>
  </si>
  <si>
    <t>Ajul</t>
  </si>
  <si>
    <t>Lakshmi Prasanna(WW)</t>
  </si>
  <si>
    <t>Rajesh</t>
  </si>
  <si>
    <t>Kishore</t>
  </si>
  <si>
    <t>Sainath (SP)</t>
  </si>
  <si>
    <t>Varsha (WW)</t>
  </si>
  <si>
    <t>Rajesh (WW)</t>
  </si>
  <si>
    <t>Prasanna (WW)</t>
  </si>
  <si>
    <t>Ajul (SP)</t>
  </si>
  <si>
    <t>Steffy (SR)</t>
  </si>
  <si>
    <t>Trilochan (WW)</t>
  </si>
  <si>
    <t>Prasanna</t>
  </si>
  <si>
    <t>Trilochan</t>
  </si>
  <si>
    <t>Varsha</t>
  </si>
  <si>
    <t>Prichand</t>
  </si>
  <si>
    <t>Anusha</t>
  </si>
  <si>
    <t>Dipanshu</t>
  </si>
  <si>
    <t>Isha</t>
  </si>
  <si>
    <t>Emmaneul(ML)</t>
  </si>
  <si>
    <t xml:space="preserve">Dipanshu(SS) </t>
  </si>
  <si>
    <t>ww</t>
  </si>
  <si>
    <t>DISCUS THROW</t>
  </si>
  <si>
    <t>RAJAN(SS)</t>
  </si>
  <si>
    <t>AJAY(SR)</t>
  </si>
  <si>
    <t>AKSHAY(ML)</t>
  </si>
  <si>
    <t>HAMMER THROW</t>
  </si>
  <si>
    <t>AJAY (SR)</t>
  </si>
  <si>
    <t>RAJAN (SS)</t>
  </si>
  <si>
    <t>SHOT PUT</t>
  </si>
  <si>
    <t>CHARISHMA(SS)</t>
  </si>
  <si>
    <t>CATHY(SR)</t>
  </si>
  <si>
    <t>STEFFY(SR)</t>
  </si>
  <si>
    <t>KISHORE K(SP)</t>
  </si>
  <si>
    <t>Puneeth Singh(SS)</t>
  </si>
  <si>
    <t>Nirmal (FT)</t>
  </si>
  <si>
    <t>Siddarth(ML)</t>
  </si>
  <si>
    <t>TEAM NAME</t>
  </si>
  <si>
    <t>Column 1</t>
  </si>
  <si>
    <t>100M (MEN)</t>
  </si>
  <si>
    <t>100M (W)</t>
  </si>
  <si>
    <t>200M(M)</t>
  </si>
  <si>
    <t>200M(W)</t>
  </si>
  <si>
    <t>400M(M)</t>
  </si>
  <si>
    <t>400M(W)</t>
  </si>
  <si>
    <t>1500</t>
  </si>
  <si>
    <t>4*100(M)</t>
  </si>
  <si>
    <t>4*100(W)</t>
  </si>
  <si>
    <t>SHOTPUT(M)</t>
  </si>
  <si>
    <t>SHOTPUT(W)</t>
  </si>
  <si>
    <t>JAVELIN</t>
  </si>
  <si>
    <t>HAMMER</t>
  </si>
  <si>
    <t>DISCUSS</t>
  </si>
  <si>
    <t>TOTAL</t>
  </si>
  <si>
    <t>STARWALT RHINOS</t>
  </si>
  <si>
    <t>SAVAGE SHARKS</t>
  </si>
  <si>
    <t>MIGHTY LIONS</t>
  </si>
  <si>
    <t>MAJESTIC EAGLE</t>
  </si>
  <si>
    <t>BRAVEBULLS</t>
  </si>
  <si>
    <t>Total</t>
  </si>
  <si>
    <t xml:space="preserve"> ROUND </t>
  </si>
  <si>
    <t xml:space="preserve"> MEN_DATE </t>
  </si>
  <si>
    <t xml:space="preserve"> MEN_TIME </t>
  </si>
  <si>
    <t xml:space="preserve"> MEN_VENUE </t>
  </si>
  <si>
    <t xml:space="preserve"> WOMEN_DATE </t>
  </si>
  <si>
    <t xml:space="preserve"> WOMEN_TIME </t>
  </si>
  <si>
    <t xml:space="preserve"> WOMEN_VENUE</t>
  </si>
  <si>
    <t xml:space="preserve">Pool A Winner       </t>
  </si>
  <si>
    <t xml:space="preserve">Pool B Runner Up </t>
  </si>
  <si>
    <t xml:space="preserve">Pool B Winner              </t>
  </si>
  <si>
    <t>7:00pm - 8:00pm</t>
  </si>
  <si>
    <t>5:00pm - 6:30pm</t>
  </si>
  <si>
    <t>6:30pm - 8:00pm</t>
  </si>
  <si>
    <t>TigersSSSS</t>
  </si>
  <si>
    <t xml:space="preserve"> PANTHERS (BTECH B22)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</si>
</sst>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\,\ mmmm\ d"/>
    <numFmt numFmtId="165" formatCode="m\-d"/>
    <numFmt numFmtId="166" formatCode="0.0000"/>
    <numFmt numFmtId="167" formatCode="0.0"/>
  </numFmts>
  <fonts count="19" x14ac:knownFonts="1">
    <font>
      <sz val="11"/>
      <color theme="1"/>
      <name val="Calibri"/>
      <family val="2"/>
      <scheme val="minor"/>
    </font>
    <font>
      <b/>
      <sz val="25"/>
      <color theme="1"/>
      <name val="EB Garamond"/>
    </font>
    <font>
      <sz val="10"/>
      <name val="Arial"/>
      <family val="2"/>
    </font>
    <font>
      <sz val="15"/>
      <color theme="1"/>
      <name val="EB Garamond"/>
    </font>
    <font>
      <sz val="20"/>
      <color theme="1"/>
      <name val="EB Garamond"/>
    </font>
    <font>
      <b/>
      <sz val="17"/>
      <color theme="1"/>
      <name val="EB Garamond"/>
    </font>
    <font>
      <sz val="13"/>
      <color theme="1"/>
      <name val="EB Garamond"/>
    </font>
    <font>
      <sz val="14"/>
      <color theme="1"/>
      <name val="EB Garamond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EB Garamond"/>
    </font>
    <font>
      <sz val="16"/>
      <color theme="1"/>
      <name val="Calibri"/>
      <family val="2"/>
      <scheme val="minor"/>
    </font>
    <font>
      <b/>
      <sz val="15"/>
      <color theme="1"/>
      <name val="EB Garamond"/>
    </font>
    <font>
      <sz val="30"/>
      <color theme="1"/>
      <name val="EB Garamond"/>
    </font>
    <font>
      <sz val="15"/>
      <color rgb="FF000000"/>
      <name val="EB Garamond"/>
    </font>
    <font>
      <sz val="20"/>
      <color rgb="FF000000"/>
      <name val="EB Garamond"/>
    </font>
    <font>
      <sz val="11"/>
      <color theme="1"/>
      <name val="EB Garamond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7" fontId="6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5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8" fillId="0" borderId="0" xfId="0" applyFont="1"/>
    <xf numFmtId="0" fontId="3" fillId="7" borderId="4" xfId="0" applyFont="1" applyFill="1" applyBorder="1" applyAlignment="1">
      <alignment horizontal="center"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49" fontId="5" fillId="7" borderId="4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4" fontId="3" fillId="8" borderId="4" xfId="0" applyNumberFormat="1" applyFont="1" applyFill="1" applyBorder="1" applyAlignment="1">
      <alignment horizontal="center" vertical="center" wrapText="1"/>
    </xf>
    <xf numFmtId="0" fontId="8" fillId="5" borderId="0" xfId="0" applyFont="1" applyFill="1"/>
    <xf numFmtId="0" fontId="5" fillId="7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64" fontId="3" fillId="2" borderId="16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165" fontId="5" fillId="4" borderId="16" xfId="0" applyNumberFormat="1" applyFont="1" applyFill="1" applyBorder="1" applyAlignment="1">
      <alignment horizontal="center" vertical="center"/>
    </xf>
    <xf numFmtId="0" fontId="10" fillId="0" borderId="0" xfId="0" applyFont="1"/>
    <xf numFmtId="0" fontId="5" fillId="4" borderId="16" xfId="0" applyFont="1" applyFill="1" applyBorder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165" fontId="5" fillId="4" borderId="12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4" borderId="7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7" fillId="9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7" xfId="0" applyFont="1" applyBorder="1"/>
    <xf numFmtId="164" fontId="3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10" xfId="0" applyFont="1" applyBorder="1"/>
    <xf numFmtId="0" fontId="2" fillId="0" borderId="18" xfId="0" applyFont="1" applyBorder="1"/>
    <xf numFmtId="0" fontId="0" fillId="0" borderId="0" xfId="0"/>
    <xf numFmtId="0" fontId="2" fillId="0" borderId="17" xfId="0" applyFont="1" applyBorder="1"/>
    <xf numFmtId="0" fontId="2" fillId="0" borderId="15" xfId="0" applyFont="1" applyBorder="1"/>
    <xf numFmtId="0" fontId="2" fillId="0" borderId="5" xfId="0" applyFont="1" applyBorder="1"/>
    <xf numFmtId="0" fontId="2" fillId="0" borderId="16" xfId="0" applyFont="1" applyBorder="1"/>
    <xf numFmtId="0" fontId="3" fillId="0" borderId="9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THLETICS TABLE-style" pivot="0" count="3" xr9:uid="{64D8C76A-BC94-47E8-987E-A9D49883CB6F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AED84-88D6-4383-94F5-F4BD64B83151}" name="Table1" displayName="Table1" ref="A3:R12">
  <autoFilter ref="A3:R12" xr:uid="{B3AAED84-88D6-4383-94F5-F4BD64B83151}"/>
  <tableColumns count="18">
    <tableColumn id="1" xr3:uid="{BAEECBA0-35B0-4758-84AF-5AA48383CFBB}" name="TEAM NAME"/>
    <tableColumn id="2" xr3:uid="{40ED83EC-4AE4-4ED5-93C3-44688BF351BC}" name="Column 1"/>
    <tableColumn id="3" xr3:uid="{9BEB7C39-74A5-409D-AA0D-3BA942CA1EB5}" name="100M (MEN)"/>
    <tableColumn id="4" xr3:uid="{D4BE21E3-70CF-4526-8EA1-7D0D749EB5D3}" name="100M (W)"/>
    <tableColumn id="5" xr3:uid="{46B754CD-5030-426C-81F5-1410B98F033A}" name="200M(M)"/>
    <tableColumn id="6" xr3:uid="{51BD6D18-B87E-4A23-9182-B43B3E0548E4}" name="200M(W)"/>
    <tableColumn id="7" xr3:uid="{D71BEFF9-6A43-4525-84A6-CE2D80BDC1A4}" name="400M(M)"/>
    <tableColumn id="8" xr3:uid="{93C3B3A6-32D3-4EB1-8CEB-2EAC6C5E88F5}" name="400M(W)"/>
    <tableColumn id="9" xr3:uid="{E5FD877B-6CAD-46C2-B1A2-30ED049F8E2C}" name="800M"/>
    <tableColumn id="10" xr3:uid="{EFDE11F3-06E0-41E7-A016-2A49E1134C33}" name="1500"/>
    <tableColumn id="11" xr3:uid="{A4737909-738B-4E93-9B84-71D0D5DF0092}" name="4*100(M)"/>
    <tableColumn id="12" xr3:uid="{D0D4D9A0-9C5E-4BDA-9A0A-1791476C4693}" name="4*100(W)"/>
    <tableColumn id="13" xr3:uid="{7B9B763C-61E9-47EE-AFB9-9C52ED39E77B}" name="SHOTPUT(M)"/>
    <tableColumn id="14" xr3:uid="{51CB60EB-24F7-4CE0-BED7-DD9AA306BA80}" name="SHOTPUT(W)"/>
    <tableColumn id="15" xr3:uid="{FBE8B3DF-B8DD-4008-A341-44EA0F4485A9}" name="JAVELIN"/>
    <tableColumn id="16" xr3:uid="{BF9E2B93-E0D2-4464-9990-160A85A2B460}" name="HAMMER"/>
    <tableColumn id="17" xr3:uid="{71624101-8336-47FA-A48F-741CB587373A}" name="DISCUSS"/>
    <tableColumn id="18" xr3:uid="{D30AF83C-6818-4021-8F90-08CBB1B00185}" name="TOTAL">
      <calculatedColumnFormula>SUM(C4:Q4)</calculatedColumnFormula>
    </tableColumn>
  </tableColumns>
  <tableStyleInfo name="ATHLETICS TABL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3C6A-91D9-4CEF-A739-70F0E1DB4259}">
  <sheetPr codeName="Sheet1"/>
  <dimension ref="A1:H30"/>
  <sheetViews>
    <sheetView workbookViewId="0">
      <selection activeCell="K9" sqref="K9"/>
    </sheetView>
  </sheetViews>
  <sheetFormatPr defaultRowHeight="14.4" x14ac:dyDescent="0.3"/>
  <cols>
    <col min="1" max="1" width="15.33203125" customWidth="1"/>
    <col min="3" max="3" width="36.6640625" customWidth="1"/>
    <col min="4" max="4" width="26.88671875" customWidth="1"/>
    <col min="5" max="5" width="22.44140625" customWidth="1"/>
    <col min="6" max="6" width="35.21875" customWidth="1"/>
    <col min="7" max="7" width="15.88671875" customWidth="1"/>
    <col min="8" max="8" width="27.5546875" customWidth="1"/>
  </cols>
  <sheetData>
    <row r="1" spans="1:8" ht="15" thickBot="1" x14ac:dyDescent="0.35">
      <c r="A1" t="s">
        <v>399</v>
      </c>
      <c r="B1" t="s">
        <v>277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</row>
    <row r="2" spans="1:8" x14ac:dyDescent="0.3">
      <c r="A2" s="166" t="s">
        <v>278</v>
      </c>
      <c r="B2" s="166" t="s">
        <v>279</v>
      </c>
      <c r="C2" s="169">
        <v>45716</v>
      </c>
      <c r="D2" s="166" t="s">
        <v>280</v>
      </c>
      <c r="E2" s="166" t="s">
        <v>170</v>
      </c>
      <c r="F2" s="169">
        <v>45716</v>
      </c>
      <c r="G2" s="166" t="s">
        <v>281</v>
      </c>
      <c r="H2" s="166" t="s">
        <v>170</v>
      </c>
    </row>
    <row r="3" spans="1:8" x14ac:dyDescent="0.3">
      <c r="A3" s="167"/>
      <c r="B3" s="167"/>
      <c r="C3" s="167"/>
      <c r="D3" s="167"/>
      <c r="E3" s="167"/>
      <c r="F3" s="167"/>
      <c r="G3" s="167"/>
      <c r="H3" s="167"/>
    </row>
    <row r="4" spans="1:8" x14ac:dyDescent="0.3">
      <c r="A4" s="167"/>
      <c r="B4" s="167"/>
      <c r="C4" s="167"/>
      <c r="D4" s="167"/>
      <c r="E4" s="167"/>
      <c r="F4" s="167"/>
      <c r="G4" s="167"/>
      <c r="H4" s="167"/>
    </row>
    <row r="5" spans="1:8" ht="15" thickBot="1" x14ac:dyDescent="0.35">
      <c r="A5" s="167"/>
      <c r="B5" s="168"/>
      <c r="C5" s="168"/>
      <c r="D5" s="168"/>
      <c r="E5" s="168"/>
      <c r="F5" s="168"/>
      <c r="G5" s="168"/>
      <c r="H5" s="168"/>
    </row>
    <row r="6" spans="1:8" x14ac:dyDescent="0.3">
      <c r="A6" s="167"/>
      <c r="B6" s="166" t="s">
        <v>282</v>
      </c>
      <c r="C6" s="169">
        <v>45719</v>
      </c>
      <c r="D6" s="166" t="s">
        <v>283</v>
      </c>
      <c r="E6" s="166" t="s">
        <v>170</v>
      </c>
      <c r="F6" s="169">
        <v>45719</v>
      </c>
      <c r="G6" s="166" t="s">
        <v>284</v>
      </c>
      <c r="H6" s="166" t="s">
        <v>170</v>
      </c>
    </row>
    <row r="7" spans="1:8" x14ac:dyDescent="0.3">
      <c r="A7" s="167"/>
      <c r="B7" s="167"/>
      <c r="C7" s="167"/>
      <c r="D7" s="167"/>
      <c r="E7" s="167"/>
      <c r="F7" s="167"/>
      <c r="G7" s="167"/>
      <c r="H7" s="167"/>
    </row>
    <row r="8" spans="1:8" x14ac:dyDescent="0.3">
      <c r="A8" s="167"/>
      <c r="B8" s="167"/>
      <c r="C8" s="167"/>
      <c r="D8" s="167"/>
      <c r="E8" s="167"/>
      <c r="F8" s="167"/>
      <c r="G8" s="167"/>
      <c r="H8" s="167"/>
    </row>
    <row r="9" spans="1:8" ht="15" thickBot="1" x14ac:dyDescent="0.35">
      <c r="A9" s="167"/>
      <c r="B9" s="168"/>
      <c r="C9" s="168"/>
      <c r="D9" s="168"/>
      <c r="E9" s="168"/>
      <c r="F9" s="168"/>
      <c r="G9" s="168"/>
      <c r="H9" s="168"/>
    </row>
    <row r="10" spans="1:8" x14ac:dyDescent="0.3">
      <c r="A10" s="167"/>
      <c r="B10" s="166" t="s">
        <v>285</v>
      </c>
      <c r="C10" s="169">
        <v>45720</v>
      </c>
      <c r="D10" s="166" t="s">
        <v>283</v>
      </c>
      <c r="E10" s="166" t="s">
        <v>170</v>
      </c>
      <c r="F10" s="169">
        <v>45720</v>
      </c>
      <c r="G10" s="166" t="s">
        <v>284</v>
      </c>
      <c r="H10" s="166" t="s">
        <v>170</v>
      </c>
    </row>
    <row r="11" spans="1:8" x14ac:dyDescent="0.3">
      <c r="A11" s="167"/>
      <c r="B11" s="167"/>
      <c r="C11" s="167"/>
      <c r="D11" s="167"/>
      <c r="E11" s="167"/>
      <c r="F11" s="167"/>
      <c r="G11" s="167"/>
      <c r="H11" s="167"/>
    </row>
    <row r="12" spans="1:8" x14ac:dyDescent="0.3">
      <c r="A12" s="167"/>
      <c r="B12" s="167"/>
      <c r="C12" s="167"/>
      <c r="D12" s="167"/>
      <c r="E12" s="167"/>
      <c r="F12" s="167"/>
      <c r="G12" s="167"/>
      <c r="H12" s="167"/>
    </row>
    <row r="13" spans="1:8" ht="15" thickBot="1" x14ac:dyDescent="0.35">
      <c r="A13" s="167"/>
      <c r="B13" s="168"/>
      <c r="C13" s="168"/>
      <c r="D13" s="168"/>
      <c r="E13" s="168"/>
      <c r="F13" s="168"/>
      <c r="G13" s="168"/>
      <c r="H13" s="168"/>
    </row>
    <row r="14" spans="1:8" x14ac:dyDescent="0.3">
      <c r="A14" s="167"/>
      <c r="B14" s="166" t="s">
        <v>286</v>
      </c>
      <c r="C14" s="169">
        <v>45722</v>
      </c>
      <c r="D14" s="166" t="s">
        <v>283</v>
      </c>
      <c r="E14" s="170" t="s">
        <v>170</v>
      </c>
      <c r="F14" s="169">
        <v>45722</v>
      </c>
      <c r="G14" s="166" t="s">
        <v>284</v>
      </c>
      <c r="H14" s="170" t="s">
        <v>170</v>
      </c>
    </row>
    <row r="15" spans="1:8" ht="15" thickBot="1" x14ac:dyDescent="0.35">
      <c r="A15" s="167"/>
      <c r="B15" s="168"/>
      <c r="C15" s="168"/>
      <c r="D15" s="168"/>
      <c r="E15" s="168"/>
      <c r="F15" s="168"/>
      <c r="G15" s="168"/>
      <c r="H15" s="168"/>
    </row>
    <row r="16" spans="1:8" x14ac:dyDescent="0.3">
      <c r="A16" s="167"/>
      <c r="B16" s="166" t="s">
        <v>287</v>
      </c>
      <c r="C16" s="169">
        <v>45723</v>
      </c>
      <c r="D16" s="166" t="s">
        <v>283</v>
      </c>
      <c r="E16" s="166" t="s">
        <v>170</v>
      </c>
      <c r="F16" s="180"/>
      <c r="G16" s="172"/>
      <c r="H16" s="173"/>
    </row>
    <row r="17" spans="1:8" x14ac:dyDescent="0.3">
      <c r="A17" s="167"/>
      <c r="B17" s="167"/>
      <c r="C17" s="167"/>
      <c r="D17" s="167"/>
      <c r="E17" s="167"/>
      <c r="F17" s="174"/>
      <c r="G17" s="175"/>
      <c r="H17" s="176"/>
    </row>
    <row r="18" spans="1:8" x14ac:dyDescent="0.3">
      <c r="A18" s="167"/>
      <c r="B18" s="167"/>
      <c r="C18" s="167"/>
      <c r="D18" s="167"/>
      <c r="E18" s="167"/>
      <c r="F18" s="174"/>
      <c r="G18" s="175"/>
      <c r="H18" s="176"/>
    </row>
    <row r="19" spans="1:8" ht="15" thickBot="1" x14ac:dyDescent="0.35">
      <c r="A19" s="168"/>
      <c r="B19" s="168"/>
      <c r="C19" s="168"/>
      <c r="D19" s="168"/>
      <c r="E19" s="168"/>
      <c r="F19" s="177"/>
      <c r="G19" s="178"/>
      <c r="H19" s="179"/>
    </row>
    <row r="20" spans="1:8" ht="23.4" thickBot="1" x14ac:dyDescent="0.35">
      <c r="C20" s="180"/>
      <c r="D20" s="172"/>
      <c r="E20" s="172"/>
      <c r="F20" s="172"/>
      <c r="G20" s="172"/>
      <c r="H20" s="173"/>
    </row>
    <row r="21" spans="1:8" ht="46.2" thickBot="1" x14ac:dyDescent="0.35">
      <c r="A21" s="166" t="s">
        <v>288</v>
      </c>
      <c r="B21" s="1" t="s">
        <v>279</v>
      </c>
      <c r="C21" s="43">
        <v>45725</v>
      </c>
      <c r="D21" s="1" t="s">
        <v>289</v>
      </c>
      <c r="E21" s="1" t="s">
        <v>170</v>
      </c>
      <c r="F21" s="43">
        <v>45725</v>
      </c>
      <c r="G21" s="1" t="s">
        <v>290</v>
      </c>
      <c r="H21" s="1" t="s">
        <v>170</v>
      </c>
    </row>
    <row r="22" spans="1:8" ht="46.2" thickBot="1" x14ac:dyDescent="0.35">
      <c r="A22" s="167"/>
      <c r="B22" s="1" t="s">
        <v>282</v>
      </c>
      <c r="C22" s="43">
        <v>45725</v>
      </c>
      <c r="D22" s="1" t="s">
        <v>291</v>
      </c>
      <c r="E22" s="1" t="s">
        <v>170</v>
      </c>
      <c r="F22" s="43">
        <v>45725</v>
      </c>
      <c r="G22" s="1" t="s">
        <v>292</v>
      </c>
      <c r="H22" s="1" t="s">
        <v>170</v>
      </c>
    </row>
    <row r="23" spans="1:8" ht="46.2" thickBot="1" x14ac:dyDescent="0.35">
      <c r="A23" s="167"/>
      <c r="B23" s="1" t="s">
        <v>285</v>
      </c>
      <c r="C23" s="43">
        <v>45725</v>
      </c>
      <c r="D23" s="1" t="s">
        <v>293</v>
      </c>
      <c r="E23" s="1" t="s">
        <v>170</v>
      </c>
      <c r="F23" s="43">
        <v>45725</v>
      </c>
      <c r="G23" s="1" t="s">
        <v>294</v>
      </c>
      <c r="H23" s="1" t="s">
        <v>170</v>
      </c>
    </row>
    <row r="24" spans="1:8" ht="23.4" thickBot="1" x14ac:dyDescent="0.35">
      <c r="A24" s="167"/>
      <c r="B24" s="1" t="s">
        <v>287</v>
      </c>
      <c r="C24" s="43">
        <v>45725</v>
      </c>
      <c r="D24" s="1" t="s">
        <v>295</v>
      </c>
      <c r="E24" s="1" t="s">
        <v>170</v>
      </c>
      <c r="F24" s="181"/>
      <c r="G24" s="182"/>
      <c r="H24" s="183"/>
    </row>
    <row r="25" spans="1:8" ht="46.2" thickBot="1" x14ac:dyDescent="0.35">
      <c r="A25" s="167"/>
      <c r="B25" s="1" t="s">
        <v>286</v>
      </c>
      <c r="C25" s="43">
        <v>45725</v>
      </c>
      <c r="D25" s="1" t="s">
        <v>296</v>
      </c>
      <c r="E25" s="1" t="s">
        <v>170</v>
      </c>
      <c r="F25" s="43">
        <v>45725</v>
      </c>
      <c r="G25" s="1" t="s">
        <v>297</v>
      </c>
      <c r="H25" s="1" t="s">
        <v>170</v>
      </c>
    </row>
    <row r="26" spans="1:8" ht="23.4" thickBot="1" x14ac:dyDescent="0.35">
      <c r="A26" s="167"/>
      <c r="B26" s="1" t="s">
        <v>298</v>
      </c>
      <c r="C26" s="43">
        <v>45725</v>
      </c>
      <c r="D26" s="1" t="s">
        <v>299</v>
      </c>
      <c r="E26" s="1" t="s">
        <v>170</v>
      </c>
      <c r="F26" s="171"/>
      <c r="G26" s="172"/>
      <c r="H26" s="173"/>
    </row>
    <row r="27" spans="1:8" ht="46.2" thickBot="1" x14ac:dyDescent="0.35">
      <c r="A27" s="167"/>
      <c r="B27" s="1" t="s">
        <v>300</v>
      </c>
      <c r="C27" s="43">
        <v>45720</v>
      </c>
      <c r="D27" s="1" t="s">
        <v>126</v>
      </c>
      <c r="E27" s="1" t="s">
        <v>170</v>
      </c>
      <c r="F27" s="174"/>
      <c r="G27" s="175"/>
      <c r="H27" s="176"/>
    </row>
    <row r="28" spans="1:8" ht="69" thickBot="1" x14ac:dyDescent="0.35">
      <c r="A28" s="167"/>
      <c r="B28" s="1" t="s">
        <v>301</v>
      </c>
      <c r="C28" s="43">
        <v>45720</v>
      </c>
      <c r="D28" s="1" t="s">
        <v>235</v>
      </c>
      <c r="E28" s="1" t="s">
        <v>170</v>
      </c>
      <c r="F28" s="177"/>
      <c r="G28" s="178"/>
      <c r="H28" s="179"/>
    </row>
    <row r="29" spans="1:8" ht="46.2" thickBot="1" x14ac:dyDescent="0.35">
      <c r="A29" s="167"/>
      <c r="B29" s="1" t="s">
        <v>302</v>
      </c>
      <c r="C29" s="43">
        <v>45719</v>
      </c>
      <c r="D29" s="1" t="s">
        <v>126</v>
      </c>
      <c r="E29" s="1" t="s">
        <v>170</v>
      </c>
      <c r="F29" s="43">
        <v>45720</v>
      </c>
      <c r="G29" s="1" t="s">
        <v>303</v>
      </c>
      <c r="H29" s="1" t="s">
        <v>170</v>
      </c>
    </row>
    <row r="30" spans="1:8" ht="46.2" thickBot="1" x14ac:dyDescent="0.35">
      <c r="A30" s="168"/>
      <c r="B30" s="1" t="s">
        <v>304</v>
      </c>
      <c r="C30" s="43">
        <v>45719</v>
      </c>
      <c r="D30" s="1" t="s">
        <v>235</v>
      </c>
      <c r="E30" s="1" t="s">
        <v>170</v>
      </c>
      <c r="F30" s="43"/>
      <c r="G30" s="1"/>
      <c r="H30" s="1"/>
    </row>
  </sheetData>
  <mergeCells count="38">
    <mergeCell ref="A2:A19"/>
    <mergeCell ref="A21:A30"/>
    <mergeCell ref="F26:H28"/>
    <mergeCell ref="B2:B5"/>
    <mergeCell ref="B6:B9"/>
    <mergeCell ref="B10:B13"/>
    <mergeCell ref="B14:B15"/>
    <mergeCell ref="B16:B19"/>
    <mergeCell ref="C16:C19"/>
    <mergeCell ref="D16:D19"/>
    <mergeCell ref="E16:E19"/>
    <mergeCell ref="F16:H19"/>
    <mergeCell ref="C20:H20"/>
    <mergeCell ref="F24:H24"/>
    <mergeCell ref="C14:C15"/>
    <mergeCell ref="D14:D15"/>
    <mergeCell ref="E14:E15"/>
    <mergeCell ref="F14:F15"/>
    <mergeCell ref="G14:G15"/>
    <mergeCell ref="H14:H15"/>
    <mergeCell ref="C10:C13"/>
    <mergeCell ref="D10:D13"/>
    <mergeCell ref="E10:E13"/>
    <mergeCell ref="F10:F13"/>
    <mergeCell ref="G10:G13"/>
    <mergeCell ref="H10:H13"/>
    <mergeCell ref="H6:H9"/>
    <mergeCell ref="C2:C5"/>
    <mergeCell ref="D2:D5"/>
    <mergeCell ref="E2:E5"/>
    <mergeCell ref="F2:F5"/>
    <mergeCell ref="G2:G5"/>
    <mergeCell ref="H2:H5"/>
    <mergeCell ref="C6:C9"/>
    <mergeCell ref="D6:D9"/>
    <mergeCell ref="E6:E9"/>
    <mergeCell ref="F6:F9"/>
    <mergeCell ref="G6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5A9A-E28D-497A-B235-2220E0B90012}">
  <sheetPr codeName="Sheet3"/>
  <dimension ref="A3:R12"/>
  <sheetViews>
    <sheetView topLeftCell="A3" zoomScale="72" workbookViewId="0">
      <selection activeCell="K9" sqref="K9"/>
    </sheetView>
  </sheetViews>
  <sheetFormatPr defaultColWidth="12.6640625" defaultRowHeight="15" customHeight="1" x14ac:dyDescent="0.3"/>
  <cols>
    <col min="1" max="1" width="20.21875" customWidth="1"/>
    <col min="2" max="2" width="5.21875" customWidth="1"/>
    <col min="3" max="3" width="14.88671875" customWidth="1"/>
    <col min="4" max="4" width="12.88671875" customWidth="1"/>
    <col min="13" max="13" width="15.44140625" customWidth="1"/>
    <col min="14" max="14" width="15.6640625" customWidth="1"/>
  </cols>
  <sheetData>
    <row r="3" spans="1:18" ht="14.4" x14ac:dyDescent="0.3">
      <c r="A3" s="152" t="s">
        <v>376</v>
      </c>
      <c r="B3" s="153" t="s">
        <v>377</v>
      </c>
      <c r="C3" s="153" t="s">
        <v>378</v>
      </c>
      <c r="D3" s="153" t="s">
        <v>379</v>
      </c>
      <c r="E3" s="153" t="s">
        <v>380</v>
      </c>
      <c r="F3" s="153" t="s">
        <v>381</v>
      </c>
      <c r="G3" s="153" t="s">
        <v>382</v>
      </c>
      <c r="H3" s="153" t="s">
        <v>383</v>
      </c>
      <c r="I3" s="153" t="s">
        <v>287</v>
      </c>
      <c r="J3" s="153" t="s">
        <v>384</v>
      </c>
      <c r="K3" s="153" t="s">
        <v>385</v>
      </c>
      <c r="L3" s="153" t="s">
        <v>386</v>
      </c>
      <c r="M3" s="153" t="s">
        <v>387</v>
      </c>
      <c r="N3" s="153" t="s">
        <v>388</v>
      </c>
      <c r="O3" s="153" t="s">
        <v>389</v>
      </c>
      <c r="P3" s="153" t="s">
        <v>390</v>
      </c>
      <c r="Q3" s="153" t="s">
        <v>391</v>
      </c>
      <c r="R3" s="154" t="s">
        <v>392</v>
      </c>
    </row>
    <row r="4" spans="1:18" ht="14.4" x14ac:dyDescent="0.3">
      <c r="A4" s="155" t="s">
        <v>27</v>
      </c>
      <c r="C4" s="156">
        <v>1</v>
      </c>
      <c r="D4" s="156">
        <v>3</v>
      </c>
      <c r="E4" s="156">
        <v>3</v>
      </c>
      <c r="F4" s="156">
        <v>8</v>
      </c>
      <c r="G4" s="156">
        <v>3</v>
      </c>
      <c r="H4" s="156">
        <v>8</v>
      </c>
      <c r="J4" s="156">
        <v>3</v>
      </c>
      <c r="K4" s="156">
        <v>10</v>
      </c>
      <c r="L4" s="156">
        <v>10</v>
      </c>
      <c r="R4" s="157">
        <f t="shared" ref="R4:R12" si="0">SUM(C4:Q4)</f>
        <v>49</v>
      </c>
    </row>
    <row r="5" spans="1:18" ht="14.4" x14ac:dyDescent="0.3">
      <c r="A5" s="158" t="s">
        <v>262</v>
      </c>
      <c r="C5" s="159">
        <v>8</v>
      </c>
      <c r="E5" s="159">
        <v>6</v>
      </c>
      <c r="G5" s="159">
        <v>5</v>
      </c>
      <c r="H5" s="159">
        <v>1</v>
      </c>
      <c r="I5" s="159">
        <v>8</v>
      </c>
      <c r="J5" s="159">
        <v>5</v>
      </c>
      <c r="K5" s="159">
        <v>6</v>
      </c>
      <c r="O5" s="159">
        <v>5</v>
      </c>
      <c r="R5" s="160">
        <f t="shared" si="0"/>
        <v>44</v>
      </c>
    </row>
    <row r="6" spans="1:18" ht="14.4" x14ac:dyDescent="0.3">
      <c r="A6" s="155" t="s">
        <v>393</v>
      </c>
      <c r="D6" s="156">
        <v>5</v>
      </c>
      <c r="F6" s="156">
        <v>1</v>
      </c>
      <c r="H6" s="156"/>
      <c r="L6" s="156">
        <v>6</v>
      </c>
      <c r="M6" s="156">
        <v>3</v>
      </c>
      <c r="N6" s="161">
        <v>4</v>
      </c>
      <c r="P6" s="161">
        <v>5</v>
      </c>
      <c r="Q6" s="161">
        <v>3</v>
      </c>
      <c r="R6" s="157">
        <f t="shared" si="0"/>
        <v>27</v>
      </c>
    </row>
    <row r="7" spans="1:18" ht="14.4" x14ac:dyDescent="0.3">
      <c r="A7" s="158" t="s">
        <v>394</v>
      </c>
      <c r="M7" s="159">
        <v>5</v>
      </c>
      <c r="N7" s="162">
        <v>5</v>
      </c>
      <c r="O7" s="159">
        <v>3</v>
      </c>
      <c r="P7" s="162">
        <v>3</v>
      </c>
      <c r="Q7" s="162">
        <v>5</v>
      </c>
      <c r="R7" s="160">
        <f t="shared" si="0"/>
        <v>21</v>
      </c>
    </row>
    <row r="8" spans="1:18" ht="14.4" x14ac:dyDescent="0.3">
      <c r="A8" s="155" t="s">
        <v>395</v>
      </c>
      <c r="D8" s="156">
        <v>1</v>
      </c>
      <c r="I8" s="156">
        <v>1</v>
      </c>
      <c r="J8" s="156">
        <v>1</v>
      </c>
      <c r="K8" s="156">
        <v>2</v>
      </c>
      <c r="L8" s="156">
        <v>2</v>
      </c>
      <c r="M8" s="156">
        <v>1</v>
      </c>
      <c r="P8" s="161">
        <v>1</v>
      </c>
      <c r="Q8" s="161">
        <v>1</v>
      </c>
      <c r="R8" s="157">
        <f t="shared" si="0"/>
        <v>10</v>
      </c>
    </row>
    <row r="9" spans="1:18" ht="14.4" x14ac:dyDescent="0.3">
      <c r="A9" s="158" t="s">
        <v>263</v>
      </c>
      <c r="O9" s="159">
        <v>1</v>
      </c>
      <c r="R9" s="160">
        <f t="shared" si="0"/>
        <v>1</v>
      </c>
    </row>
    <row r="10" spans="1:18" ht="14.4" x14ac:dyDescent="0.3">
      <c r="A10" s="155" t="s">
        <v>396</v>
      </c>
      <c r="R10" s="157">
        <f t="shared" si="0"/>
        <v>0</v>
      </c>
    </row>
    <row r="11" spans="1:18" ht="14.4" x14ac:dyDescent="0.3">
      <c r="A11" s="158" t="s">
        <v>397</v>
      </c>
      <c r="R11" s="160">
        <f t="shared" si="0"/>
        <v>0</v>
      </c>
    </row>
    <row r="12" spans="1:18" ht="14.4" x14ac:dyDescent="0.3">
      <c r="A12" s="163" t="s">
        <v>398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5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1848-CDF3-42BF-8A9E-25BB2D258798}">
  <sheetPr codeName="Sheet2"/>
  <dimension ref="A1:F953"/>
  <sheetViews>
    <sheetView zoomScale="40" workbookViewId="0">
      <selection activeCell="K9" sqref="K9"/>
    </sheetView>
  </sheetViews>
  <sheetFormatPr defaultColWidth="12.6640625" defaultRowHeight="14.4" x14ac:dyDescent="0.3"/>
  <cols>
    <col min="1" max="1" width="11.21875" customWidth="1"/>
    <col min="2" max="2" width="12.88671875" customWidth="1"/>
    <col min="3" max="3" width="9.88671875" customWidth="1"/>
    <col min="4" max="4" width="39.33203125" customWidth="1"/>
    <col min="5" max="5" width="38.21875" customWidth="1"/>
  </cols>
  <sheetData>
    <row r="1" spans="1:6" ht="45.6" thickBot="1" x14ac:dyDescent="0.35">
      <c r="A1" s="184"/>
      <c r="B1" s="182"/>
      <c r="C1" s="183"/>
      <c r="D1" s="126" t="s">
        <v>275</v>
      </c>
      <c r="E1" s="126" t="s">
        <v>276</v>
      </c>
      <c r="F1" s="185"/>
    </row>
    <row r="2" spans="1:6" ht="61.8" thickBot="1" x14ac:dyDescent="0.35">
      <c r="A2" s="28"/>
      <c r="B2" s="28" t="s">
        <v>277</v>
      </c>
      <c r="C2" s="28" t="s">
        <v>305</v>
      </c>
      <c r="D2" s="28" t="s">
        <v>306</v>
      </c>
      <c r="E2" s="28" t="s">
        <v>306</v>
      </c>
      <c r="F2" s="175"/>
    </row>
    <row r="3" spans="1:6" ht="23.4" thickBot="1" x14ac:dyDescent="0.35">
      <c r="A3" s="180" t="s">
        <v>307</v>
      </c>
      <c r="B3" s="180" t="s">
        <v>279</v>
      </c>
      <c r="C3" s="127">
        <v>1</v>
      </c>
      <c r="D3" s="128" t="s">
        <v>308</v>
      </c>
      <c r="E3" s="24" t="s">
        <v>309</v>
      </c>
      <c r="F3" s="185"/>
    </row>
    <row r="4" spans="1:6" ht="23.4" thickBot="1" x14ac:dyDescent="0.35">
      <c r="A4" s="174"/>
      <c r="B4" s="174"/>
      <c r="C4" s="129">
        <v>2</v>
      </c>
      <c r="D4" s="130" t="s">
        <v>310</v>
      </c>
      <c r="E4" s="24" t="s">
        <v>311</v>
      </c>
      <c r="F4" s="175"/>
    </row>
    <row r="5" spans="1:6" ht="23.4" thickBot="1" x14ac:dyDescent="0.35">
      <c r="A5" s="174"/>
      <c r="B5" s="174"/>
      <c r="C5" s="129">
        <v>3</v>
      </c>
      <c r="D5" s="130" t="s">
        <v>312</v>
      </c>
      <c r="E5" s="24" t="s">
        <v>313</v>
      </c>
      <c r="F5" s="175"/>
    </row>
    <row r="6" spans="1:6" ht="23.4" thickBot="1" x14ac:dyDescent="0.35">
      <c r="A6" s="174"/>
      <c r="B6" s="177"/>
      <c r="C6" s="131">
        <v>4</v>
      </c>
      <c r="D6" s="132" t="s">
        <v>314</v>
      </c>
      <c r="E6" s="24" t="s">
        <v>315</v>
      </c>
      <c r="F6" s="175"/>
    </row>
    <row r="7" spans="1:6" ht="22.8" x14ac:dyDescent="0.3">
      <c r="A7" s="174"/>
      <c r="B7" s="180" t="s">
        <v>285</v>
      </c>
      <c r="C7" s="127">
        <v>1</v>
      </c>
      <c r="D7" s="133" t="s">
        <v>316</v>
      </c>
      <c r="E7" s="134" t="s">
        <v>317</v>
      </c>
      <c r="F7" s="175"/>
    </row>
    <row r="8" spans="1:6" ht="22.8" x14ac:dyDescent="0.3">
      <c r="A8" s="174"/>
      <c r="B8" s="174"/>
      <c r="C8" s="129">
        <v>2</v>
      </c>
      <c r="D8" s="135" t="s">
        <v>318</v>
      </c>
      <c r="E8" s="136" t="s">
        <v>309</v>
      </c>
      <c r="F8" s="175"/>
    </row>
    <row r="9" spans="1:6" ht="22.8" x14ac:dyDescent="0.3">
      <c r="A9" s="174"/>
      <c r="B9" s="174"/>
      <c r="C9" s="129">
        <v>3</v>
      </c>
      <c r="D9" s="135" t="s">
        <v>319</v>
      </c>
      <c r="E9" s="137" t="s">
        <v>320</v>
      </c>
      <c r="F9" s="175"/>
    </row>
    <row r="10" spans="1:6" ht="22.8" x14ac:dyDescent="0.3">
      <c r="A10" s="174"/>
      <c r="B10" s="174"/>
      <c r="C10" s="131">
        <v>4</v>
      </c>
      <c r="D10" s="138" t="s">
        <v>321</v>
      </c>
      <c r="E10" s="139" t="s">
        <v>322</v>
      </c>
      <c r="F10" s="175"/>
    </row>
    <row r="11" spans="1:6" ht="23.4" thickBot="1" x14ac:dyDescent="0.35">
      <c r="A11" s="174"/>
      <c r="B11" s="177"/>
      <c r="C11" s="131">
        <v>5</v>
      </c>
      <c r="D11" s="138" t="s">
        <v>323</v>
      </c>
      <c r="E11" s="139" t="s">
        <v>324</v>
      </c>
      <c r="F11" s="175"/>
    </row>
    <row r="12" spans="1:6" ht="23.4" thickBot="1" x14ac:dyDescent="0.35">
      <c r="A12" s="174"/>
      <c r="B12" s="180" t="s">
        <v>282</v>
      </c>
      <c r="C12" s="127">
        <v>1</v>
      </c>
      <c r="D12" s="128" t="s">
        <v>318</v>
      </c>
      <c r="E12" s="25" t="s">
        <v>313</v>
      </c>
      <c r="F12" s="175"/>
    </row>
    <row r="13" spans="1:6" ht="23.4" thickBot="1" x14ac:dyDescent="0.35">
      <c r="A13" s="174"/>
      <c r="B13" s="174"/>
      <c r="C13" s="129">
        <v>2</v>
      </c>
      <c r="D13" s="130" t="s">
        <v>325</v>
      </c>
      <c r="E13" s="25" t="s">
        <v>309</v>
      </c>
      <c r="F13" s="175"/>
    </row>
    <row r="14" spans="1:6" ht="23.4" thickBot="1" x14ac:dyDescent="0.35">
      <c r="A14" s="174"/>
      <c r="B14" s="174"/>
      <c r="C14" s="129">
        <v>3</v>
      </c>
      <c r="D14" s="130" t="s">
        <v>326</v>
      </c>
      <c r="E14" s="25" t="s">
        <v>327</v>
      </c>
      <c r="F14" s="175"/>
    </row>
    <row r="15" spans="1:6" ht="23.4" thickBot="1" x14ac:dyDescent="0.35">
      <c r="A15" s="174"/>
      <c r="B15" s="174"/>
      <c r="C15" s="131">
        <v>4</v>
      </c>
      <c r="D15" s="132" t="s">
        <v>328</v>
      </c>
      <c r="E15" s="25" t="s">
        <v>329</v>
      </c>
      <c r="F15" s="175"/>
    </row>
    <row r="16" spans="1:6" ht="23.4" thickBot="1" x14ac:dyDescent="0.35">
      <c r="A16" s="174"/>
      <c r="B16" s="177"/>
      <c r="C16" s="131">
        <v>5</v>
      </c>
      <c r="D16" s="132" t="s">
        <v>330</v>
      </c>
      <c r="E16" s="25" t="s">
        <v>331</v>
      </c>
      <c r="F16" s="175"/>
    </row>
    <row r="17" spans="1:6" ht="22.8" x14ac:dyDescent="0.3">
      <c r="A17" s="174"/>
      <c r="B17" s="180" t="s">
        <v>287</v>
      </c>
      <c r="C17" s="140">
        <v>1</v>
      </c>
      <c r="D17" s="141" t="s">
        <v>325</v>
      </c>
      <c r="E17" s="186"/>
      <c r="F17" s="175"/>
    </row>
    <row r="18" spans="1:6" ht="22.8" x14ac:dyDescent="0.3">
      <c r="A18" s="174"/>
      <c r="B18" s="174"/>
      <c r="C18" s="143">
        <v>2</v>
      </c>
      <c r="D18" s="130" t="s">
        <v>319</v>
      </c>
      <c r="E18" s="176"/>
      <c r="F18" s="175"/>
    </row>
    <row r="19" spans="1:6" ht="22.8" x14ac:dyDescent="0.3">
      <c r="A19" s="174"/>
      <c r="B19" s="174"/>
      <c r="C19" s="143">
        <v>3</v>
      </c>
      <c r="D19" s="130" t="s">
        <v>332</v>
      </c>
      <c r="E19" s="176"/>
      <c r="F19" s="175"/>
    </row>
    <row r="20" spans="1:6" ht="22.8" x14ac:dyDescent="0.3">
      <c r="A20" s="174"/>
      <c r="B20" s="174"/>
      <c r="C20" s="144">
        <v>4</v>
      </c>
      <c r="D20" s="145" t="s">
        <v>328</v>
      </c>
      <c r="E20" s="176"/>
      <c r="F20" s="175"/>
    </row>
    <row r="21" spans="1:6" ht="23.4" thickBot="1" x14ac:dyDescent="0.35">
      <c r="A21" s="174"/>
      <c r="B21" s="177"/>
      <c r="C21" s="110">
        <v>5</v>
      </c>
      <c r="D21" s="142" t="s">
        <v>333</v>
      </c>
      <c r="E21" s="179"/>
      <c r="F21" s="175"/>
    </row>
    <row r="22" spans="1:6" ht="22.8" x14ac:dyDescent="0.3">
      <c r="A22" s="174"/>
      <c r="B22" s="180" t="s">
        <v>334</v>
      </c>
      <c r="C22" s="127">
        <v>1</v>
      </c>
      <c r="D22" s="128" t="s">
        <v>335</v>
      </c>
      <c r="E22" s="130"/>
      <c r="F22" s="175"/>
    </row>
    <row r="23" spans="1:6" ht="22.8" x14ac:dyDescent="0.3">
      <c r="A23" s="174"/>
      <c r="B23" s="174"/>
      <c r="C23" s="129">
        <v>2</v>
      </c>
      <c r="D23" s="130" t="s">
        <v>336</v>
      </c>
      <c r="E23" s="146"/>
      <c r="F23" s="175"/>
    </row>
    <row r="24" spans="1:6" ht="22.8" x14ac:dyDescent="0.3">
      <c r="A24" s="174"/>
      <c r="B24" s="174"/>
      <c r="C24" s="129">
        <v>3</v>
      </c>
      <c r="D24" s="130" t="s">
        <v>95</v>
      </c>
      <c r="E24" s="130"/>
      <c r="F24" s="175"/>
    </row>
    <row r="25" spans="1:6" ht="23.4" thickBot="1" x14ac:dyDescent="0.35">
      <c r="A25" s="177"/>
      <c r="B25" s="177"/>
      <c r="C25" s="147">
        <v>4</v>
      </c>
      <c r="D25" s="148" t="s">
        <v>337</v>
      </c>
      <c r="E25" s="149"/>
      <c r="F25" s="175"/>
    </row>
    <row r="26" spans="1:6" x14ac:dyDescent="0.3">
      <c r="A26" s="187"/>
      <c r="B26" s="172"/>
      <c r="C26" s="172"/>
      <c r="D26" s="172"/>
      <c r="E26" s="173"/>
      <c r="F26" s="175"/>
    </row>
    <row r="27" spans="1:6" ht="15" thickBot="1" x14ac:dyDescent="0.35">
      <c r="A27" s="177"/>
      <c r="B27" s="178"/>
      <c r="C27" s="178"/>
      <c r="D27" s="178"/>
      <c r="E27" s="179"/>
      <c r="F27" s="175"/>
    </row>
    <row r="28" spans="1:6" ht="23.4" thickBot="1" x14ac:dyDescent="0.35">
      <c r="A28" s="166" t="s">
        <v>288</v>
      </c>
      <c r="B28" s="166" t="s">
        <v>279</v>
      </c>
      <c r="C28" s="1">
        <v>1</v>
      </c>
      <c r="D28" s="150" t="s">
        <v>338</v>
      </c>
      <c r="E28" s="150" t="s">
        <v>339</v>
      </c>
      <c r="F28" s="175"/>
    </row>
    <row r="29" spans="1:6" ht="23.4" thickBot="1" x14ac:dyDescent="0.35">
      <c r="A29" s="167"/>
      <c r="B29" s="167"/>
      <c r="C29" s="1">
        <v>2</v>
      </c>
      <c r="D29" s="150" t="s">
        <v>340</v>
      </c>
      <c r="E29" s="150" t="s">
        <v>341</v>
      </c>
      <c r="F29" s="175"/>
    </row>
    <row r="30" spans="1:6" ht="23.4" thickBot="1" x14ac:dyDescent="0.35">
      <c r="A30" s="167"/>
      <c r="B30" s="167"/>
      <c r="C30" s="1">
        <v>3</v>
      </c>
      <c r="D30" s="150" t="s">
        <v>342</v>
      </c>
      <c r="E30" s="150" t="s">
        <v>315</v>
      </c>
      <c r="F30" s="175"/>
    </row>
    <row r="31" spans="1:6" ht="23.4" thickBot="1" x14ac:dyDescent="0.35">
      <c r="A31" s="167"/>
      <c r="B31" s="168"/>
      <c r="C31" s="1">
        <v>4</v>
      </c>
      <c r="D31" s="150" t="s">
        <v>343</v>
      </c>
      <c r="E31" s="150" t="s">
        <v>313</v>
      </c>
      <c r="F31" s="175"/>
    </row>
    <row r="32" spans="1:6" ht="23.4" thickBot="1" x14ac:dyDescent="0.35">
      <c r="A32" s="167"/>
      <c r="B32" s="166" t="s">
        <v>285</v>
      </c>
      <c r="C32" s="1">
        <v>1</v>
      </c>
      <c r="D32" s="150" t="s">
        <v>344</v>
      </c>
      <c r="E32" s="150" t="s">
        <v>345</v>
      </c>
      <c r="F32" s="175"/>
    </row>
    <row r="33" spans="1:6" ht="23.4" thickBot="1" x14ac:dyDescent="0.35">
      <c r="A33" s="167"/>
      <c r="B33" s="167"/>
      <c r="C33" s="1">
        <v>2</v>
      </c>
      <c r="D33" s="150" t="s">
        <v>346</v>
      </c>
      <c r="E33" s="150" t="s">
        <v>347</v>
      </c>
      <c r="F33" s="175"/>
    </row>
    <row r="34" spans="1:6" ht="23.4" thickBot="1" x14ac:dyDescent="0.35">
      <c r="A34" s="167"/>
      <c r="B34" s="167"/>
      <c r="C34" s="1">
        <v>3</v>
      </c>
      <c r="D34" s="150" t="s">
        <v>348</v>
      </c>
      <c r="E34" s="150" t="s">
        <v>349</v>
      </c>
      <c r="F34" s="175"/>
    </row>
    <row r="35" spans="1:6" ht="23.4" thickBot="1" x14ac:dyDescent="0.35">
      <c r="A35" s="167"/>
      <c r="B35" s="168"/>
      <c r="C35" s="1">
        <v>4</v>
      </c>
      <c r="D35" s="150" t="s">
        <v>350</v>
      </c>
      <c r="E35" s="150"/>
      <c r="F35" s="175"/>
    </row>
    <row r="36" spans="1:6" ht="23.4" thickBot="1" x14ac:dyDescent="0.35">
      <c r="A36" s="167"/>
      <c r="B36" s="166" t="s">
        <v>282</v>
      </c>
      <c r="C36" s="1">
        <v>1</v>
      </c>
      <c r="D36" s="25" t="s">
        <v>338</v>
      </c>
      <c r="E36" s="150" t="s">
        <v>351</v>
      </c>
      <c r="F36" s="175"/>
    </row>
    <row r="37" spans="1:6" ht="23.4" thickBot="1" x14ac:dyDescent="0.35">
      <c r="A37" s="167"/>
      <c r="B37" s="167"/>
      <c r="C37" s="1">
        <v>2</v>
      </c>
      <c r="D37" s="150" t="s">
        <v>352</v>
      </c>
      <c r="E37" s="150" t="s">
        <v>353</v>
      </c>
      <c r="F37" s="175"/>
    </row>
    <row r="38" spans="1:6" ht="23.4" thickBot="1" x14ac:dyDescent="0.35">
      <c r="A38" s="167"/>
      <c r="B38" s="167"/>
      <c r="C38" s="1">
        <v>3</v>
      </c>
      <c r="D38" s="150" t="s">
        <v>354</v>
      </c>
      <c r="E38" s="150" t="s">
        <v>355</v>
      </c>
      <c r="F38" s="175"/>
    </row>
    <row r="39" spans="1:6" ht="23.4" thickBot="1" x14ac:dyDescent="0.35">
      <c r="A39" s="167"/>
      <c r="B39" s="167"/>
      <c r="C39" s="1">
        <v>4</v>
      </c>
      <c r="D39" s="150" t="s">
        <v>356</v>
      </c>
      <c r="E39" s="150" t="s">
        <v>357</v>
      </c>
      <c r="F39" s="175"/>
    </row>
    <row r="40" spans="1:6" ht="23.4" thickBot="1" x14ac:dyDescent="0.35">
      <c r="A40" s="167"/>
      <c r="B40" s="168"/>
      <c r="C40" s="1">
        <v>5</v>
      </c>
      <c r="D40" s="150"/>
      <c r="E40" s="150"/>
      <c r="F40" s="175"/>
    </row>
    <row r="41" spans="1:6" ht="23.4" thickBot="1" x14ac:dyDescent="0.35">
      <c r="A41" s="167"/>
      <c r="B41" s="166" t="s">
        <v>287</v>
      </c>
      <c r="C41" s="1">
        <v>1</v>
      </c>
      <c r="D41" s="150" t="s">
        <v>325</v>
      </c>
      <c r="E41" s="188"/>
      <c r="F41" s="175"/>
    </row>
    <row r="42" spans="1:6" ht="23.4" thickBot="1" x14ac:dyDescent="0.35">
      <c r="A42" s="167"/>
      <c r="B42" s="167"/>
      <c r="C42" s="1">
        <v>2</v>
      </c>
      <c r="D42" s="150" t="s">
        <v>308</v>
      </c>
      <c r="E42" s="167"/>
      <c r="F42" s="175"/>
    </row>
    <row r="43" spans="1:6" ht="23.4" thickBot="1" x14ac:dyDescent="0.35">
      <c r="A43" s="167"/>
      <c r="B43" s="167"/>
      <c r="C43" s="1">
        <v>3</v>
      </c>
      <c r="D43" s="150" t="s">
        <v>358</v>
      </c>
      <c r="E43" s="167"/>
      <c r="F43" s="175"/>
    </row>
    <row r="44" spans="1:6" ht="23.4" thickBot="1" x14ac:dyDescent="0.35">
      <c r="A44" s="167"/>
      <c r="B44" s="168"/>
      <c r="C44" s="1">
        <v>4</v>
      </c>
      <c r="D44" s="150" t="s">
        <v>359</v>
      </c>
      <c r="E44" s="168"/>
      <c r="F44" s="175"/>
    </row>
    <row r="45" spans="1:6" ht="23.4" thickBot="1" x14ac:dyDescent="0.35">
      <c r="A45" s="167"/>
      <c r="B45" s="166" t="s">
        <v>334</v>
      </c>
      <c r="C45" s="1">
        <v>1</v>
      </c>
      <c r="D45" s="150" t="s">
        <v>360</v>
      </c>
      <c r="E45" s="150" t="s">
        <v>336</v>
      </c>
      <c r="F45" s="175"/>
    </row>
    <row r="46" spans="1:6" ht="23.4" thickBot="1" x14ac:dyDescent="0.35">
      <c r="A46" s="167"/>
      <c r="B46" s="167"/>
      <c r="C46" s="1">
        <v>2</v>
      </c>
      <c r="D46" s="150" t="s">
        <v>335</v>
      </c>
      <c r="E46" s="150" t="s">
        <v>337</v>
      </c>
      <c r="F46" s="175"/>
    </row>
    <row r="47" spans="1:6" ht="23.4" thickBot="1" x14ac:dyDescent="0.35">
      <c r="A47" s="167"/>
      <c r="B47" s="167"/>
      <c r="C47" s="1">
        <v>3</v>
      </c>
      <c r="D47" s="150" t="s">
        <v>95</v>
      </c>
      <c r="E47" s="150" t="s">
        <v>95</v>
      </c>
      <c r="F47" s="175"/>
    </row>
    <row r="48" spans="1:6" ht="23.4" thickBot="1" x14ac:dyDescent="0.35">
      <c r="A48" s="167"/>
      <c r="B48" s="168"/>
      <c r="C48" s="1">
        <v>4</v>
      </c>
      <c r="D48" s="150"/>
      <c r="E48" s="150" t="s">
        <v>335</v>
      </c>
      <c r="F48" s="175"/>
    </row>
    <row r="49" spans="1:6" ht="23.4" thickBot="1" x14ac:dyDescent="0.35">
      <c r="A49" s="167"/>
      <c r="B49" s="166" t="s">
        <v>361</v>
      </c>
      <c r="C49" s="1">
        <v>1</v>
      </c>
      <c r="D49" s="24" t="s">
        <v>362</v>
      </c>
      <c r="E49" s="188"/>
      <c r="F49" s="175"/>
    </row>
    <row r="50" spans="1:6" ht="23.4" thickBot="1" x14ac:dyDescent="0.35">
      <c r="A50" s="167"/>
      <c r="B50" s="167"/>
      <c r="C50" s="1">
        <v>2</v>
      </c>
      <c r="D50" s="24" t="s">
        <v>363</v>
      </c>
      <c r="E50" s="167"/>
      <c r="F50" s="175"/>
    </row>
    <row r="51" spans="1:6" ht="23.4" thickBot="1" x14ac:dyDescent="0.35">
      <c r="A51" s="167"/>
      <c r="B51" s="168"/>
      <c r="C51" s="1">
        <v>3</v>
      </c>
      <c r="D51" s="24" t="s">
        <v>364</v>
      </c>
      <c r="E51" s="167"/>
      <c r="F51" s="175"/>
    </row>
    <row r="52" spans="1:6" ht="23.4" thickBot="1" x14ac:dyDescent="0.35">
      <c r="A52" s="167"/>
      <c r="B52" s="166" t="s">
        <v>365</v>
      </c>
      <c r="C52" s="1">
        <v>1</v>
      </c>
      <c r="D52" s="151" t="s">
        <v>366</v>
      </c>
      <c r="E52" s="167"/>
      <c r="F52" s="175"/>
    </row>
    <row r="53" spans="1:6" ht="23.4" thickBot="1" x14ac:dyDescent="0.35">
      <c r="A53" s="167"/>
      <c r="B53" s="167"/>
      <c r="C53" s="1">
        <v>2</v>
      </c>
      <c r="D53" s="151" t="s">
        <v>367</v>
      </c>
      <c r="E53" s="167"/>
      <c r="F53" s="175"/>
    </row>
    <row r="54" spans="1:6" ht="23.4" thickBot="1" x14ac:dyDescent="0.35">
      <c r="A54" s="167"/>
      <c r="B54" s="168"/>
      <c r="C54" s="1">
        <v>3</v>
      </c>
      <c r="D54" s="151" t="s">
        <v>364</v>
      </c>
      <c r="E54" s="168"/>
      <c r="F54" s="175"/>
    </row>
    <row r="55" spans="1:6" ht="23.4" thickBot="1" x14ac:dyDescent="0.35">
      <c r="A55" s="167"/>
      <c r="B55" s="166" t="s">
        <v>368</v>
      </c>
      <c r="C55" s="1">
        <v>1</v>
      </c>
      <c r="D55" s="24" t="s">
        <v>362</v>
      </c>
      <c r="E55" s="151" t="s">
        <v>369</v>
      </c>
      <c r="F55" s="175"/>
    </row>
    <row r="56" spans="1:6" ht="23.4" thickBot="1" x14ac:dyDescent="0.35">
      <c r="A56" s="167"/>
      <c r="B56" s="167"/>
      <c r="C56" s="1">
        <v>2</v>
      </c>
      <c r="D56" s="24" t="s">
        <v>363</v>
      </c>
      <c r="E56" s="151" t="s">
        <v>370</v>
      </c>
      <c r="F56" s="175"/>
    </row>
    <row r="57" spans="1:6" ht="23.4" thickBot="1" x14ac:dyDescent="0.35">
      <c r="A57" s="167"/>
      <c r="B57" s="167"/>
      <c r="C57" s="1">
        <v>3</v>
      </c>
      <c r="D57" s="24" t="s">
        <v>364</v>
      </c>
      <c r="E57" s="151" t="s">
        <v>371</v>
      </c>
      <c r="F57" s="175"/>
    </row>
    <row r="58" spans="1:6" ht="24" customHeight="1" thickBot="1" x14ac:dyDescent="0.35">
      <c r="A58" s="167"/>
      <c r="B58" s="166" t="s">
        <v>304</v>
      </c>
      <c r="C58" s="1">
        <v>1</v>
      </c>
      <c r="D58" s="24" t="s">
        <v>372</v>
      </c>
      <c r="E58" s="188"/>
      <c r="F58" s="175"/>
    </row>
    <row r="59" spans="1:6" ht="24" customHeight="1" thickBot="1" x14ac:dyDescent="0.35">
      <c r="A59" s="167"/>
      <c r="B59" s="167"/>
      <c r="C59" s="1">
        <v>2</v>
      </c>
      <c r="D59" s="24" t="s">
        <v>373</v>
      </c>
      <c r="E59" s="167"/>
      <c r="F59" s="175"/>
    </row>
    <row r="60" spans="1:6" ht="24" customHeight="1" thickBot="1" x14ac:dyDescent="0.35">
      <c r="A60" s="167"/>
      <c r="B60" s="167"/>
      <c r="C60" s="1">
        <v>3</v>
      </c>
      <c r="D60" s="24" t="s">
        <v>374</v>
      </c>
      <c r="E60" s="167"/>
      <c r="F60" s="175"/>
    </row>
    <row r="61" spans="1:6" ht="24" customHeight="1" thickBot="1" x14ac:dyDescent="0.35">
      <c r="A61" s="168"/>
      <c r="B61" s="168"/>
      <c r="C61" s="1">
        <v>4</v>
      </c>
      <c r="D61" s="24" t="s">
        <v>375</v>
      </c>
      <c r="E61" s="168"/>
      <c r="F61" s="175"/>
    </row>
    <row r="62" spans="1:6" ht="24" customHeight="1" thickBot="1" x14ac:dyDescent="0.35">
      <c r="A62" s="189"/>
      <c r="B62" s="182"/>
      <c r="C62" s="182"/>
      <c r="D62" s="182"/>
      <c r="E62" s="183"/>
      <c r="F62" s="175"/>
    </row>
    <row r="63" spans="1:6" ht="15.75" customHeight="1" x14ac:dyDescent="0.3">
      <c r="A63" s="185"/>
      <c r="B63" s="175"/>
      <c r="C63" s="175"/>
      <c r="D63" s="175"/>
      <c r="E63" s="175"/>
      <c r="F63" s="175"/>
    </row>
    <row r="64" spans="1:6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</sheetData>
  <mergeCells count="26">
    <mergeCell ref="A63:F63"/>
    <mergeCell ref="A26:E27"/>
    <mergeCell ref="A28:A61"/>
    <mergeCell ref="B28:B31"/>
    <mergeCell ref="B32:B35"/>
    <mergeCell ref="B36:B40"/>
    <mergeCell ref="B41:B44"/>
    <mergeCell ref="E41:E44"/>
    <mergeCell ref="B45:B48"/>
    <mergeCell ref="B49:B51"/>
    <mergeCell ref="E49:E54"/>
    <mergeCell ref="B52:B54"/>
    <mergeCell ref="B55:B57"/>
    <mergeCell ref="B58:B61"/>
    <mergeCell ref="E58:E61"/>
    <mergeCell ref="A62:E62"/>
    <mergeCell ref="A1:C1"/>
    <mergeCell ref="F1:F2"/>
    <mergeCell ref="A3:A25"/>
    <mergeCell ref="B3:B6"/>
    <mergeCell ref="F3:F62"/>
    <mergeCell ref="B7:B11"/>
    <mergeCell ref="B12:B16"/>
    <mergeCell ref="B17:B21"/>
    <mergeCell ref="E17:E21"/>
    <mergeCell ref="B22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C8BE-C9DD-4459-A815-43FB8E6D52D5}">
  <sheetPr codeName="Sheet9"/>
  <dimension ref="A1:G9"/>
  <sheetViews>
    <sheetView topLeftCell="A10" workbookViewId="0">
      <selection activeCell="K9" sqref="K9"/>
    </sheetView>
  </sheetViews>
  <sheetFormatPr defaultRowHeight="14.4" x14ac:dyDescent="0.3"/>
  <cols>
    <col min="1" max="1" width="23.6640625" customWidth="1"/>
    <col min="2" max="2" width="30.21875" customWidth="1"/>
    <col min="3" max="3" width="18.109375" customWidth="1"/>
    <col min="4" max="4" width="15" customWidth="1"/>
    <col min="5" max="5" width="17.21875" customWidth="1"/>
    <col min="6" max="6" width="17.44140625" customWidth="1"/>
    <col min="7" max="7" width="20.21875" customWidth="1"/>
  </cols>
  <sheetData>
    <row r="1" spans="1:7" ht="46.2" thickBot="1" x14ac:dyDescent="0.35">
      <c r="A1" s="103" t="s">
        <v>68</v>
      </c>
      <c r="B1" s="1" t="s">
        <v>31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96</v>
      </c>
    </row>
    <row r="2" spans="1:7" ht="23.4" thickBot="1" x14ac:dyDescent="0.65">
      <c r="A2" t="s">
        <v>69</v>
      </c>
      <c r="B2" s="73" t="s">
        <v>116</v>
      </c>
      <c r="C2" s="101">
        <v>3</v>
      </c>
      <c r="D2" s="101">
        <v>3</v>
      </c>
      <c r="E2" s="100">
        <v>0</v>
      </c>
      <c r="F2" s="100">
        <v>0</v>
      </c>
      <c r="G2" s="101">
        <v>6</v>
      </c>
    </row>
    <row r="3" spans="1:7" ht="23.4" thickBot="1" x14ac:dyDescent="0.65">
      <c r="A3" t="s">
        <v>69</v>
      </c>
      <c r="B3" s="57" t="s">
        <v>50</v>
      </c>
      <c r="C3" s="18">
        <v>2</v>
      </c>
      <c r="D3" s="18">
        <v>0</v>
      </c>
      <c r="E3" s="18">
        <v>0</v>
      </c>
      <c r="F3" s="18">
        <v>2</v>
      </c>
      <c r="G3" s="18">
        <v>0</v>
      </c>
    </row>
    <row r="4" spans="1:7" ht="23.4" thickBot="1" x14ac:dyDescent="0.65">
      <c r="A4" t="s">
        <v>69</v>
      </c>
      <c r="B4" s="73" t="s">
        <v>12</v>
      </c>
      <c r="C4" s="101">
        <v>3</v>
      </c>
      <c r="D4" s="100">
        <v>2</v>
      </c>
      <c r="E4" s="100">
        <v>0</v>
      </c>
      <c r="F4" s="101">
        <v>1</v>
      </c>
      <c r="G4" s="100">
        <v>4</v>
      </c>
    </row>
    <row r="5" spans="1:7" ht="23.4" thickBot="1" x14ac:dyDescent="0.65">
      <c r="A5" t="s">
        <v>69</v>
      </c>
      <c r="B5" s="57" t="s">
        <v>16</v>
      </c>
      <c r="C5" s="117">
        <v>2</v>
      </c>
      <c r="D5" s="24">
        <v>0</v>
      </c>
      <c r="E5" s="24">
        <v>0</v>
      </c>
      <c r="F5" s="24">
        <v>2</v>
      </c>
      <c r="G5" s="24">
        <v>0</v>
      </c>
    </row>
    <row r="6" spans="1:7" ht="23.4" thickBot="1" x14ac:dyDescent="0.65">
      <c r="A6" t="s">
        <v>70</v>
      </c>
      <c r="B6" s="73" t="s">
        <v>56</v>
      </c>
      <c r="C6" s="100">
        <v>3</v>
      </c>
      <c r="D6" s="100">
        <v>2</v>
      </c>
      <c r="E6" s="100">
        <v>0</v>
      </c>
      <c r="F6" s="100">
        <v>1</v>
      </c>
      <c r="G6" s="100">
        <v>4</v>
      </c>
    </row>
    <row r="7" spans="1:7" ht="23.4" thickBot="1" x14ac:dyDescent="0.65">
      <c r="A7" t="s">
        <v>70</v>
      </c>
      <c r="B7" s="73" t="s">
        <v>19</v>
      </c>
      <c r="C7" s="100">
        <v>3</v>
      </c>
      <c r="D7" s="100">
        <v>3</v>
      </c>
      <c r="E7" s="100">
        <v>0</v>
      </c>
      <c r="F7" s="100">
        <v>0</v>
      </c>
      <c r="G7" s="100">
        <v>6</v>
      </c>
    </row>
    <row r="8" spans="1:7" ht="23.4" thickBot="1" x14ac:dyDescent="0.65">
      <c r="A8" t="s">
        <v>70</v>
      </c>
      <c r="B8" s="118" t="s">
        <v>54</v>
      </c>
      <c r="C8" s="24">
        <v>3</v>
      </c>
      <c r="D8" s="24">
        <v>1</v>
      </c>
      <c r="E8" s="24">
        <v>0</v>
      </c>
      <c r="F8" s="24">
        <v>2</v>
      </c>
      <c r="G8" s="24">
        <v>2</v>
      </c>
    </row>
    <row r="9" spans="1:7" ht="23.4" thickBot="1" x14ac:dyDescent="0.65">
      <c r="A9" t="s">
        <v>70</v>
      </c>
      <c r="B9" s="57" t="s">
        <v>91</v>
      </c>
      <c r="C9" s="119">
        <v>3</v>
      </c>
      <c r="D9" s="18">
        <v>0</v>
      </c>
      <c r="E9" s="18">
        <v>0</v>
      </c>
      <c r="F9" s="18">
        <v>3</v>
      </c>
      <c r="G9" s="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DE31-82DF-4FD8-97B6-03D60ADAFD2F}">
  <sheetPr codeName="Sheet8"/>
  <dimension ref="A1:N1000"/>
  <sheetViews>
    <sheetView topLeftCell="C1" workbookViewId="0">
      <selection activeCell="J2" sqref="J2"/>
    </sheetView>
  </sheetViews>
  <sheetFormatPr defaultColWidth="31.33203125" defaultRowHeight="14.4" x14ac:dyDescent="0.3"/>
  <cols>
    <col min="1" max="1" width="20.77734375" customWidth="1"/>
    <col min="2" max="2" width="21.6640625" customWidth="1"/>
    <col min="3" max="3" width="29.88671875" customWidth="1"/>
    <col min="4" max="4" width="13.44140625" customWidth="1"/>
    <col min="5" max="5" width="21" customWidth="1"/>
    <col min="7" max="7" width="23.44140625" customWidth="1"/>
    <col min="8" max="8" width="17.6640625" customWidth="1"/>
    <col min="9" max="9" width="21.33203125" customWidth="1"/>
  </cols>
  <sheetData>
    <row r="1" spans="1:14" ht="23.4" thickBot="1" x14ac:dyDescent="0.35">
      <c r="A1" s="191" t="s">
        <v>219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4" ht="61.8" thickBot="1" x14ac:dyDescent="0.35">
      <c r="A2" s="1"/>
      <c r="B2" s="2" t="s">
        <v>1</v>
      </c>
      <c r="C2" s="3" t="s">
        <v>2</v>
      </c>
      <c r="D2" s="112" t="s">
        <v>3</v>
      </c>
      <c r="E2" s="5" t="s">
        <v>4</v>
      </c>
      <c r="F2" s="2" t="s">
        <v>5</v>
      </c>
      <c r="G2" s="5" t="s">
        <v>6</v>
      </c>
      <c r="H2" s="2" t="s">
        <v>7</v>
      </c>
      <c r="I2" s="2" t="s">
        <v>8</v>
      </c>
      <c r="J2" s="27"/>
    </row>
    <row r="3" spans="1:14" ht="25.8" thickBot="1" x14ac:dyDescent="0.35">
      <c r="A3" s="192" t="s">
        <v>9</v>
      </c>
      <c r="B3" s="7">
        <v>1</v>
      </c>
      <c r="C3" s="7" t="s">
        <v>50</v>
      </c>
      <c r="D3" s="9" t="s">
        <v>11</v>
      </c>
      <c r="E3" s="8" t="s">
        <v>412</v>
      </c>
      <c r="F3" s="113">
        <v>45716</v>
      </c>
      <c r="G3" s="7" t="s">
        <v>220</v>
      </c>
      <c r="H3" s="7" t="s">
        <v>221</v>
      </c>
      <c r="I3" s="11" t="s">
        <v>222</v>
      </c>
      <c r="J3" s="27"/>
    </row>
    <row r="4" spans="1:14" ht="25.8" thickBot="1" x14ac:dyDescent="0.35">
      <c r="A4" s="167"/>
      <c r="B4" s="12">
        <v>2</v>
      </c>
      <c r="C4" s="12" t="s">
        <v>223</v>
      </c>
      <c r="D4" s="12" t="s">
        <v>11</v>
      </c>
      <c r="E4" s="8" t="s">
        <v>56</v>
      </c>
      <c r="F4" s="114">
        <v>45716</v>
      </c>
      <c r="G4" s="12" t="s">
        <v>128</v>
      </c>
      <c r="H4" s="12" t="s">
        <v>221</v>
      </c>
      <c r="I4" s="14" t="s">
        <v>224</v>
      </c>
      <c r="K4" s="48"/>
      <c r="L4" s="48"/>
    </row>
    <row r="5" spans="1:14" ht="25.8" thickBot="1" x14ac:dyDescent="0.35">
      <c r="A5" s="167"/>
      <c r="B5" s="107">
        <v>3</v>
      </c>
      <c r="C5" s="12" t="s">
        <v>56</v>
      </c>
      <c r="D5" s="12" t="s">
        <v>11</v>
      </c>
      <c r="E5" s="8" t="s">
        <v>19</v>
      </c>
      <c r="F5" s="114">
        <v>45717</v>
      </c>
      <c r="G5" s="12" t="s">
        <v>126</v>
      </c>
      <c r="H5" s="12" t="s">
        <v>221</v>
      </c>
      <c r="I5" s="14" t="s">
        <v>225</v>
      </c>
      <c r="J5" s="27"/>
      <c r="K5" s="48"/>
      <c r="L5" s="115"/>
    </row>
    <row r="6" spans="1:14" ht="25.8" thickBot="1" x14ac:dyDescent="0.35">
      <c r="A6" s="167"/>
      <c r="B6" s="7">
        <v>4</v>
      </c>
      <c r="C6" s="7" t="s">
        <v>16</v>
      </c>
      <c r="D6" s="7" t="s">
        <v>11</v>
      </c>
      <c r="E6" s="8" t="s">
        <v>12</v>
      </c>
      <c r="F6" s="113">
        <v>45717</v>
      </c>
      <c r="G6" s="7" t="s">
        <v>226</v>
      </c>
      <c r="H6" s="7" t="s">
        <v>221</v>
      </c>
      <c r="I6" s="11" t="s">
        <v>227</v>
      </c>
      <c r="J6" s="27"/>
      <c r="K6" s="48"/>
      <c r="L6" s="48"/>
      <c r="M6" s="85" t="s">
        <v>228</v>
      </c>
      <c r="N6" s="85" t="s">
        <v>47</v>
      </c>
    </row>
    <row r="7" spans="1:14" ht="25.8" thickBot="1" x14ac:dyDescent="0.35">
      <c r="A7" s="167"/>
      <c r="B7" s="12">
        <v>5</v>
      </c>
      <c r="C7" s="8" t="s">
        <v>223</v>
      </c>
      <c r="D7" s="12" t="s">
        <v>11</v>
      </c>
      <c r="E7" s="12" t="s">
        <v>91</v>
      </c>
      <c r="F7" s="114">
        <v>45717</v>
      </c>
      <c r="G7" s="12" t="s">
        <v>229</v>
      </c>
      <c r="H7" s="12" t="s">
        <v>221</v>
      </c>
      <c r="I7" s="14" t="s">
        <v>230</v>
      </c>
      <c r="J7" s="27"/>
      <c r="K7" s="48"/>
      <c r="L7" s="48"/>
      <c r="M7" s="85" t="s">
        <v>231</v>
      </c>
      <c r="N7" s="85" t="s">
        <v>42</v>
      </c>
    </row>
    <row r="8" spans="1:14" ht="25.8" thickBot="1" x14ac:dyDescent="0.35">
      <c r="A8" s="167"/>
      <c r="B8" s="7">
        <v>6</v>
      </c>
      <c r="C8" s="8" t="s">
        <v>116</v>
      </c>
      <c r="D8" s="9" t="s">
        <v>11</v>
      </c>
      <c r="E8" s="7" t="s">
        <v>16</v>
      </c>
      <c r="F8" s="113">
        <v>45718</v>
      </c>
      <c r="G8" s="7" t="s">
        <v>226</v>
      </c>
      <c r="H8" s="7" t="s">
        <v>221</v>
      </c>
      <c r="I8" s="11" t="s">
        <v>232</v>
      </c>
      <c r="J8" s="27"/>
    </row>
    <row r="9" spans="1:14" ht="25.8" thickBot="1" x14ac:dyDescent="0.35">
      <c r="A9" s="167"/>
      <c r="B9" s="12">
        <v>7</v>
      </c>
      <c r="C9" s="8" t="s">
        <v>56</v>
      </c>
      <c r="D9" s="12" t="s">
        <v>11</v>
      </c>
      <c r="E9" s="12" t="s">
        <v>91</v>
      </c>
      <c r="F9" s="114">
        <v>45718</v>
      </c>
      <c r="G9" s="12" t="s">
        <v>233</v>
      </c>
      <c r="H9" s="12" t="s">
        <v>221</v>
      </c>
      <c r="I9" s="14" t="s">
        <v>234</v>
      </c>
      <c r="J9" s="27"/>
    </row>
    <row r="10" spans="1:14" ht="25.8" thickBot="1" x14ac:dyDescent="0.35">
      <c r="A10" s="167"/>
      <c r="B10" s="12">
        <v>8</v>
      </c>
      <c r="C10" s="12" t="s">
        <v>223</v>
      </c>
      <c r="D10" s="12" t="s">
        <v>11</v>
      </c>
      <c r="E10" s="8" t="s">
        <v>19</v>
      </c>
      <c r="F10" s="114">
        <v>45718</v>
      </c>
      <c r="G10" s="12" t="s">
        <v>235</v>
      </c>
      <c r="H10" s="12" t="s">
        <v>221</v>
      </c>
      <c r="I10" s="14" t="s">
        <v>236</v>
      </c>
      <c r="J10" s="27"/>
      <c r="K10" s="71"/>
    </row>
    <row r="11" spans="1:14" ht="25.8" thickBot="1" x14ac:dyDescent="0.35">
      <c r="A11" s="167"/>
      <c r="B11" s="7">
        <v>9</v>
      </c>
      <c r="C11" s="8" t="s">
        <v>116</v>
      </c>
      <c r="D11" s="7" t="s">
        <v>11</v>
      </c>
      <c r="E11" s="7" t="s">
        <v>50</v>
      </c>
      <c r="F11" s="113">
        <v>45719</v>
      </c>
      <c r="G11" s="7" t="s">
        <v>235</v>
      </c>
      <c r="H11" s="7" t="s">
        <v>221</v>
      </c>
      <c r="I11" s="11" t="s">
        <v>237</v>
      </c>
      <c r="J11" s="27"/>
      <c r="L11" s="71"/>
    </row>
    <row r="12" spans="1:14" ht="25.8" thickBot="1" x14ac:dyDescent="0.35">
      <c r="A12" s="167"/>
      <c r="B12" s="12">
        <v>10</v>
      </c>
      <c r="C12" s="8" t="s">
        <v>19</v>
      </c>
      <c r="D12" s="12" t="s">
        <v>11</v>
      </c>
      <c r="E12" s="12" t="s">
        <v>91</v>
      </c>
      <c r="F12" s="114">
        <v>45719</v>
      </c>
      <c r="G12" s="12" t="s">
        <v>229</v>
      </c>
      <c r="H12" s="12" t="s">
        <v>221</v>
      </c>
      <c r="I12" s="14" t="s">
        <v>238</v>
      </c>
      <c r="J12" s="27"/>
      <c r="L12" s="71"/>
    </row>
    <row r="13" spans="1:14" ht="25.8" thickBot="1" x14ac:dyDescent="0.35">
      <c r="A13" s="167"/>
      <c r="B13" s="7">
        <v>11</v>
      </c>
      <c r="C13" s="7" t="s">
        <v>12</v>
      </c>
      <c r="D13" s="7" t="s">
        <v>11</v>
      </c>
      <c r="E13" s="8" t="s">
        <v>116</v>
      </c>
      <c r="F13" s="113">
        <v>45720</v>
      </c>
      <c r="G13" s="7" t="s">
        <v>28</v>
      </c>
      <c r="H13" s="7" t="s">
        <v>221</v>
      </c>
      <c r="I13" s="11" t="s">
        <v>239</v>
      </c>
      <c r="J13" s="27"/>
    </row>
    <row r="14" spans="1:14" ht="25.8" thickBot="1" x14ac:dyDescent="0.35">
      <c r="A14" s="168"/>
      <c r="B14" s="7">
        <v>12</v>
      </c>
      <c r="C14" s="7" t="s">
        <v>50</v>
      </c>
      <c r="D14" s="7" t="s">
        <v>11</v>
      </c>
      <c r="E14" s="7" t="s">
        <v>72</v>
      </c>
      <c r="F14" s="113">
        <v>45721</v>
      </c>
      <c r="G14" s="7" t="s">
        <v>28</v>
      </c>
      <c r="H14" s="7" t="s">
        <v>221</v>
      </c>
      <c r="I14" s="11"/>
      <c r="J14" s="27"/>
    </row>
    <row r="15" spans="1:14" ht="23.4" thickBot="1" x14ac:dyDescent="0.35">
      <c r="A15" s="190"/>
      <c r="B15" s="182"/>
      <c r="C15" s="182"/>
      <c r="D15" s="182"/>
      <c r="E15" s="182"/>
      <c r="F15" s="182"/>
      <c r="G15" s="182"/>
      <c r="H15" s="182"/>
      <c r="I15" s="183"/>
      <c r="J15" s="27"/>
    </row>
    <row r="16" spans="1:14" ht="69" thickBot="1" x14ac:dyDescent="0.35">
      <c r="A16" s="193" t="s">
        <v>55</v>
      </c>
      <c r="B16" s="1">
        <v>13</v>
      </c>
      <c r="C16" s="8" t="s">
        <v>240</v>
      </c>
      <c r="D16" s="1" t="s">
        <v>11</v>
      </c>
      <c r="E16" s="1" t="s">
        <v>241</v>
      </c>
      <c r="F16" s="116">
        <v>45723</v>
      </c>
      <c r="G16" s="1" t="s">
        <v>129</v>
      </c>
      <c r="H16" s="1" t="s">
        <v>221</v>
      </c>
      <c r="I16" s="56"/>
      <c r="J16" s="27"/>
    </row>
    <row r="17" spans="1:10" ht="54.75" customHeight="1" thickBot="1" x14ac:dyDescent="0.35">
      <c r="A17" s="168"/>
      <c r="B17" s="1">
        <v>14</v>
      </c>
      <c r="C17" s="55" t="s">
        <v>242</v>
      </c>
      <c r="D17" s="1" t="s">
        <v>11</v>
      </c>
      <c r="E17" s="8" t="s">
        <v>243</v>
      </c>
      <c r="F17" s="116">
        <v>45723</v>
      </c>
      <c r="G17" s="1" t="s">
        <v>244</v>
      </c>
      <c r="H17" s="1" t="s">
        <v>221</v>
      </c>
      <c r="I17" s="56"/>
      <c r="J17" s="27"/>
    </row>
    <row r="18" spans="1:10" ht="23.4" thickBot="1" x14ac:dyDescent="0.35">
      <c r="A18" s="190"/>
      <c r="B18" s="182"/>
      <c r="C18" s="182"/>
      <c r="D18" s="182"/>
      <c r="E18" s="182"/>
      <c r="F18" s="182"/>
      <c r="G18" s="182"/>
      <c r="H18" s="182"/>
      <c r="I18" s="183"/>
      <c r="J18" s="27"/>
    </row>
    <row r="19" spans="1:10" ht="46.2" thickBot="1" x14ac:dyDescent="0.35">
      <c r="A19" s="24" t="s">
        <v>59</v>
      </c>
      <c r="B19" s="1">
        <v>15</v>
      </c>
      <c r="C19" s="55" t="s">
        <v>245</v>
      </c>
      <c r="D19" s="1" t="s">
        <v>11</v>
      </c>
      <c r="E19" s="8" t="s">
        <v>246</v>
      </c>
      <c r="F19" s="116">
        <v>45724</v>
      </c>
      <c r="G19" s="55" t="s">
        <v>247</v>
      </c>
      <c r="H19" s="1" t="s">
        <v>221</v>
      </c>
      <c r="I19" s="56"/>
      <c r="J19" s="27"/>
    </row>
    <row r="20" spans="1:10" ht="23.4" thickBot="1" x14ac:dyDescent="0.35">
      <c r="A20" s="190"/>
      <c r="B20" s="182"/>
      <c r="C20" s="182"/>
      <c r="D20" s="182"/>
      <c r="E20" s="182"/>
      <c r="F20" s="182"/>
      <c r="G20" s="182"/>
      <c r="H20" s="182"/>
      <c r="I20" s="183"/>
      <c r="J20" s="27"/>
    </row>
    <row r="21" spans="1:10" ht="69" thickBot="1" x14ac:dyDescent="0.35">
      <c r="A21" s="24" t="s">
        <v>62</v>
      </c>
      <c r="B21" s="1">
        <v>16</v>
      </c>
      <c r="C21" s="8" t="s">
        <v>248</v>
      </c>
      <c r="D21" s="1" t="s">
        <v>11</v>
      </c>
      <c r="E21" s="1" t="s">
        <v>249</v>
      </c>
      <c r="F21" s="116">
        <v>45724</v>
      </c>
      <c r="G21" s="1" t="s">
        <v>128</v>
      </c>
      <c r="H21" s="1" t="s">
        <v>221</v>
      </c>
      <c r="I21" s="56"/>
      <c r="J21" s="27"/>
    </row>
    <row r="22" spans="1:10" ht="33" customHeight="1" x14ac:dyDescent="0.3">
      <c r="A22" s="27"/>
      <c r="B22" s="27"/>
      <c r="H22" s="27"/>
      <c r="I22" s="27"/>
      <c r="J22" s="27"/>
    </row>
    <row r="23" spans="1:10" ht="30.75" customHeight="1" x14ac:dyDescent="0.3">
      <c r="A23" s="27"/>
      <c r="B23" s="27"/>
      <c r="C23" s="39"/>
      <c r="D23" s="39"/>
      <c r="F23" s="27"/>
      <c r="H23" s="27"/>
      <c r="I23" s="39"/>
      <c r="J23" s="27"/>
    </row>
    <row r="24" spans="1:10" ht="32.2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31.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71FB-ACBC-4560-AC2C-E05A35C9BCC1}">
  <sheetPr codeName="Sheet11"/>
  <dimension ref="A1:J6"/>
  <sheetViews>
    <sheetView workbookViewId="0">
      <selection activeCell="H11" sqref="H11"/>
    </sheetView>
  </sheetViews>
  <sheetFormatPr defaultRowHeight="14.4" x14ac:dyDescent="0.3"/>
  <cols>
    <col min="1" max="1" width="21" customWidth="1"/>
    <col min="2" max="2" width="30.109375" customWidth="1"/>
    <col min="3" max="3" width="23.33203125" customWidth="1"/>
    <col min="4" max="4" width="15.109375" customWidth="1"/>
    <col min="5" max="5" width="24.5546875" customWidth="1"/>
    <col min="6" max="6" width="22.33203125" customWidth="1"/>
    <col min="7" max="7" width="15.5546875" customWidth="1"/>
    <col min="9" max="9" width="20.88671875" customWidth="1"/>
  </cols>
  <sheetData>
    <row r="1" spans="1:10" ht="69" thickBot="1" x14ac:dyDescent="0.65">
      <c r="A1" s="103" t="s">
        <v>68</v>
      </c>
      <c r="B1" s="42" t="s">
        <v>31</v>
      </c>
      <c r="C1" s="42" t="s">
        <v>93</v>
      </c>
      <c r="D1" s="42" t="s">
        <v>94</v>
      </c>
      <c r="E1" s="42" t="s">
        <v>155</v>
      </c>
      <c r="F1" s="42" t="s">
        <v>95</v>
      </c>
      <c r="G1" s="42" t="s">
        <v>35</v>
      </c>
      <c r="H1" s="42" t="s">
        <v>250</v>
      </c>
      <c r="I1" s="42" t="s">
        <v>251</v>
      </c>
      <c r="J1" s="120" t="s">
        <v>252</v>
      </c>
    </row>
    <row r="2" spans="1:10" ht="23.4" thickBot="1" x14ac:dyDescent="0.6">
      <c r="A2" t="s">
        <v>69</v>
      </c>
      <c r="B2" s="17" t="s">
        <v>27</v>
      </c>
      <c r="C2" s="121">
        <v>4</v>
      </c>
      <c r="D2" s="121">
        <v>2</v>
      </c>
      <c r="E2" s="121">
        <v>0</v>
      </c>
      <c r="F2" s="121">
        <v>2</v>
      </c>
      <c r="G2" s="121">
        <v>4</v>
      </c>
      <c r="H2" s="121">
        <v>13</v>
      </c>
      <c r="I2" s="121">
        <v>4</v>
      </c>
      <c r="J2" s="122">
        <f t="shared" ref="J2:J6" si="0">H2/I2</f>
        <v>3.25</v>
      </c>
    </row>
    <row r="3" spans="1:10" ht="23.4" thickBot="1" x14ac:dyDescent="0.6">
      <c r="A3" t="s">
        <v>69</v>
      </c>
      <c r="B3" s="17" t="s">
        <v>253</v>
      </c>
      <c r="C3" s="121">
        <v>3</v>
      </c>
      <c r="D3" s="121">
        <v>1</v>
      </c>
      <c r="E3" s="121">
        <v>0</v>
      </c>
      <c r="F3" s="121">
        <v>2</v>
      </c>
      <c r="G3" s="121">
        <v>2</v>
      </c>
      <c r="H3" s="121">
        <v>14</v>
      </c>
      <c r="I3" s="121">
        <v>3</v>
      </c>
      <c r="J3" s="122">
        <f t="shared" si="0"/>
        <v>4.666666666666667</v>
      </c>
    </row>
    <row r="4" spans="1:10" ht="23.4" thickBot="1" x14ac:dyDescent="0.6">
      <c r="A4" t="s">
        <v>69</v>
      </c>
      <c r="B4" s="17" t="s">
        <v>78</v>
      </c>
      <c r="C4" s="123">
        <v>3</v>
      </c>
      <c r="D4" s="123">
        <v>2</v>
      </c>
      <c r="E4" s="123">
        <v>0</v>
      </c>
      <c r="F4" s="123">
        <v>1</v>
      </c>
      <c r="G4" s="123">
        <v>4</v>
      </c>
      <c r="H4" s="123">
        <v>16</v>
      </c>
      <c r="I4" s="123">
        <v>3</v>
      </c>
      <c r="J4" s="122">
        <f t="shared" si="0"/>
        <v>5.333333333333333</v>
      </c>
    </row>
    <row r="5" spans="1:10" ht="23.4" thickBot="1" x14ac:dyDescent="0.6">
      <c r="A5" t="s">
        <v>69</v>
      </c>
      <c r="B5" s="44" t="s">
        <v>254</v>
      </c>
      <c r="C5" s="74">
        <v>3</v>
      </c>
      <c r="D5" s="74">
        <v>3</v>
      </c>
      <c r="E5" s="74">
        <v>0</v>
      </c>
      <c r="F5" s="74">
        <v>0</v>
      </c>
      <c r="G5" s="74">
        <v>6</v>
      </c>
      <c r="H5" s="74">
        <v>30</v>
      </c>
      <c r="I5" s="74">
        <v>3</v>
      </c>
      <c r="J5" s="75">
        <f t="shared" si="0"/>
        <v>10</v>
      </c>
    </row>
    <row r="6" spans="1:10" ht="23.4" thickBot="1" x14ac:dyDescent="0.6">
      <c r="A6" t="s">
        <v>69</v>
      </c>
      <c r="B6" s="22" t="s">
        <v>57</v>
      </c>
      <c r="C6" s="123">
        <v>3</v>
      </c>
      <c r="D6" s="123">
        <v>0</v>
      </c>
      <c r="E6" s="123">
        <v>0</v>
      </c>
      <c r="F6" s="123">
        <v>3</v>
      </c>
      <c r="G6" s="123">
        <v>0</v>
      </c>
      <c r="H6" s="123">
        <v>1</v>
      </c>
      <c r="I6" s="123">
        <v>3</v>
      </c>
      <c r="J6" s="122">
        <f t="shared" si="0"/>
        <v>0.33333333333333331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8FA5-BF25-43DA-AE8A-053EC7998171}">
  <sheetPr codeName="Sheet10"/>
  <dimension ref="A1:M1000"/>
  <sheetViews>
    <sheetView workbookViewId="0">
      <selection activeCell="F44" sqref="F44"/>
    </sheetView>
  </sheetViews>
  <sheetFormatPr defaultColWidth="17.5546875" defaultRowHeight="14.4" x14ac:dyDescent="0.3"/>
  <cols>
    <col min="3" max="3" width="33.109375" customWidth="1"/>
    <col min="4" max="4" width="9.88671875" customWidth="1"/>
    <col min="5" max="5" width="38.44140625" customWidth="1"/>
    <col min="6" max="6" width="33.6640625" customWidth="1"/>
  </cols>
  <sheetData>
    <row r="1" spans="1:13" ht="23.4" thickBot="1" x14ac:dyDescent="0.35">
      <c r="A1" s="191" t="s">
        <v>255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3" ht="61.8" thickBot="1" x14ac:dyDescent="0.35">
      <c r="A2" s="1"/>
      <c r="B2" s="2" t="s">
        <v>1</v>
      </c>
      <c r="C2" s="3" t="s">
        <v>2</v>
      </c>
      <c r="D2" s="112" t="s">
        <v>3</v>
      </c>
      <c r="E2" s="5" t="s">
        <v>4</v>
      </c>
      <c r="F2" s="2" t="s">
        <v>5</v>
      </c>
      <c r="G2" s="5" t="s">
        <v>6</v>
      </c>
      <c r="H2" s="2" t="s">
        <v>7</v>
      </c>
      <c r="I2" s="2" t="s">
        <v>8</v>
      </c>
      <c r="J2" s="27"/>
    </row>
    <row r="3" spans="1:13" ht="25.8" thickBot="1" x14ac:dyDescent="0.35">
      <c r="A3" s="193" t="s">
        <v>9</v>
      </c>
      <c r="B3" s="7">
        <v>1</v>
      </c>
      <c r="C3" s="7" t="s">
        <v>27</v>
      </c>
      <c r="D3" s="7" t="s">
        <v>11</v>
      </c>
      <c r="E3" s="8" t="s">
        <v>78</v>
      </c>
      <c r="F3" s="10">
        <v>45716</v>
      </c>
      <c r="G3" s="7" t="s">
        <v>256</v>
      </c>
      <c r="H3" s="7" t="s">
        <v>221</v>
      </c>
      <c r="I3" s="15">
        <v>45691</v>
      </c>
      <c r="J3" s="27"/>
    </row>
    <row r="4" spans="1:13" ht="46.2" thickBot="1" x14ac:dyDescent="0.35">
      <c r="A4" s="167"/>
      <c r="B4" s="7">
        <v>2</v>
      </c>
      <c r="C4" s="8" t="s">
        <v>257</v>
      </c>
      <c r="D4" s="7" t="s">
        <v>11</v>
      </c>
      <c r="E4" s="7" t="s">
        <v>57</v>
      </c>
      <c r="F4" s="10">
        <v>45716</v>
      </c>
      <c r="G4" s="7" t="s">
        <v>258</v>
      </c>
      <c r="H4" s="7" t="s">
        <v>221</v>
      </c>
      <c r="I4" s="11" t="s">
        <v>259</v>
      </c>
      <c r="J4" s="27"/>
      <c r="K4" s="48"/>
    </row>
    <row r="5" spans="1:13" ht="25.8" thickBot="1" x14ac:dyDescent="0.35">
      <c r="A5" s="167"/>
      <c r="B5" s="7">
        <v>3</v>
      </c>
      <c r="C5" s="7" t="s">
        <v>27</v>
      </c>
      <c r="D5" s="7" t="s">
        <v>11</v>
      </c>
      <c r="E5" s="8" t="s">
        <v>254</v>
      </c>
      <c r="F5" s="10">
        <v>45717</v>
      </c>
      <c r="G5" s="7" t="s">
        <v>260</v>
      </c>
      <c r="H5" s="7" t="s">
        <v>221</v>
      </c>
      <c r="I5" s="15">
        <v>45791</v>
      </c>
      <c r="J5" s="27"/>
      <c r="K5" s="48"/>
    </row>
    <row r="6" spans="1:13" ht="46.2" thickBot="1" x14ac:dyDescent="0.35">
      <c r="A6" s="167"/>
      <c r="B6" s="7">
        <v>4</v>
      </c>
      <c r="C6" s="7" t="s">
        <v>57</v>
      </c>
      <c r="D6" s="7" t="s">
        <v>11</v>
      </c>
      <c r="E6" s="8" t="s">
        <v>78</v>
      </c>
      <c r="F6" s="10">
        <v>45717</v>
      </c>
      <c r="G6" s="7" t="s">
        <v>261</v>
      </c>
      <c r="H6" s="7" t="s">
        <v>221</v>
      </c>
      <c r="I6" s="15">
        <v>45669</v>
      </c>
      <c r="J6" s="27"/>
      <c r="K6" s="48"/>
    </row>
    <row r="7" spans="1:13" ht="25.8" thickBot="1" x14ac:dyDescent="0.35">
      <c r="A7" s="167"/>
      <c r="B7" s="7">
        <v>5</v>
      </c>
      <c r="C7" s="8" t="s">
        <v>56</v>
      </c>
      <c r="D7" s="7" t="s">
        <v>11</v>
      </c>
      <c r="E7" s="7" t="s">
        <v>253</v>
      </c>
      <c r="F7" s="10">
        <v>45718</v>
      </c>
      <c r="G7" s="7" t="s">
        <v>256</v>
      </c>
      <c r="H7" s="7" t="s">
        <v>221</v>
      </c>
      <c r="I7" s="15">
        <v>45689</v>
      </c>
      <c r="J7" s="27"/>
      <c r="K7" s="48"/>
    </row>
    <row r="8" spans="1:13" ht="46.2" thickBot="1" x14ac:dyDescent="0.35">
      <c r="A8" s="167"/>
      <c r="B8" s="7">
        <v>6</v>
      </c>
      <c r="C8" s="8" t="s">
        <v>254</v>
      </c>
      <c r="D8" s="7" t="s">
        <v>11</v>
      </c>
      <c r="E8" s="7" t="s">
        <v>78</v>
      </c>
      <c r="F8" s="10">
        <v>45718</v>
      </c>
      <c r="G8" s="7" t="s">
        <v>258</v>
      </c>
      <c r="H8" s="7" t="s">
        <v>221</v>
      </c>
      <c r="I8" s="15">
        <v>45778</v>
      </c>
      <c r="J8" s="27"/>
      <c r="K8" s="115"/>
      <c r="L8" s="85" t="s">
        <v>228</v>
      </c>
      <c r="M8" s="85" t="s">
        <v>262</v>
      </c>
    </row>
    <row r="9" spans="1:13" ht="25.8" thickBot="1" x14ac:dyDescent="0.35">
      <c r="A9" s="167"/>
      <c r="B9" s="7">
        <v>7</v>
      </c>
      <c r="C9" s="7" t="s">
        <v>57</v>
      </c>
      <c r="D9" s="7" t="s">
        <v>11</v>
      </c>
      <c r="E9" s="8" t="s">
        <v>27</v>
      </c>
      <c r="F9" s="10">
        <v>45720</v>
      </c>
      <c r="G9" s="7" t="s">
        <v>256</v>
      </c>
      <c r="H9" s="7" t="s">
        <v>221</v>
      </c>
      <c r="I9" s="11" t="s">
        <v>154</v>
      </c>
      <c r="J9" s="27"/>
      <c r="L9" s="85" t="s">
        <v>231</v>
      </c>
      <c r="M9" s="85" t="s">
        <v>263</v>
      </c>
    </row>
    <row r="10" spans="1:13" ht="46.2" thickBot="1" x14ac:dyDescent="0.35">
      <c r="A10" s="167"/>
      <c r="B10" s="7">
        <v>8</v>
      </c>
      <c r="C10" s="7" t="s">
        <v>253</v>
      </c>
      <c r="D10" s="7" t="s">
        <v>11</v>
      </c>
      <c r="E10" s="8" t="s">
        <v>254</v>
      </c>
      <c r="F10" s="10">
        <v>45720</v>
      </c>
      <c r="G10" s="7" t="s">
        <v>258</v>
      </c>
      <c r="H10" s="7" t="s">
        <v>221</v>
      </c>
      <c r="I10" s="15">
        <v>45699</v>
      </c>
      <c r="J10" s="27"/>
    </row>
    <row r="11" spans="1:13" ht="25.8" thickBot="1" x14ac:dyDescent="0.35">
      <c r="A11" s="167"/>
      <c r="B11" s="7">
        <v>9</v>
      </c>
      <c r="C11" s="7" t="s">
        <v>253</v>
      </c>
      <c r="D11" s="7" t="s">
        <v>11</v>
      </c>
      <c r="E11" s="7" t="s">
        <v>78</v>
      </c>
      <c r="F11" s="10">
        <v>45721</v>
      </c>
      <c r="G11" s="7" t="s">
        <v>256</v>
      </c>
      <c r="H11" s="7" t="s">
        <v>221</v>
      </c>
      <c r="I11" s="11"/>
      <c r="J11" s="27"/>
    </row>
    <row r="12" spans="1:13" ht="46.2" thickBot="1" x14ac:dyDescent="0.35">
      <c r="A12" s="168"/>
      <c r="B12" s="7">
        <v>10</v>
      </c>
      <c r="C12" s="7" t="s">
        <v>254</v>
      </c>
      <c r="D12" s="7" t="s">
        <v>11</v>
      </c>
      <c r="E12" s="7" t="s">
        <v>57</v>
      </c>
      <c r="F12" s="10">
        <v>45721</v>
      </c>
      <c r="G12" s="7" t="s">
        <v>258</v>
      </c>
      <c r="H12" s="7" t="s">
        <v>221</v>
      </c>
      <c r="I12" s="11"/>
      <c r="J12" s="27"/>
    </row>
    <row r="13" spans="1:13" ht="25.2" x14ac:dyDescent="0.3">
      <c r="A13" s="124"/>
      <c r="B13" s="39"/>
      <c r="C13" s="39"/>
      <c r="D13" s="39"/>
      <c r="E13" s="39"/>
      <c r="F13" s="51"/>
      <c r="G13" s="39"/>
      <c r="H13" s="39"/>
      <c r="I13" s="125"/>
      <c r="J13" s="27"/>
    </row>
    <row r="14" spans="1:13" ht="25.2" x14ac:dyDescent="0.3">
      <c r="A14" s="124"/>
      <c r="B14" s="39"/>
      <c r="C14" s="39"/>
      <c r="D14" s="39"/>
      <c r="E14" s="39"/>
      <c r="F14" s="51"/>
      <c r="G14" s="39"/>
      <c r="H14" s="39"/>
      <c r="I14" s="125"/>
      <c r="J14" s="27"/>
    </row>
    <row r="15" spans="1:13" ht="23.4" thickBot="1" x14ac:dyDescent="0.35">
      <c r="A15" s="194"/>
      <c r="B15" s="178"/>
      <c r="C15" s="178"/>
      <c r="D15" s="178"/>
      <c r="E15" s="178"/>
      <c r="F15" s="178"/>
      <c r="G15" s="178"/>
      <c r="H15" s="178"/>
      <c r="I15" s="179"/>
      <c r="J15" s="27"/>
    </row>
    <row r="16" spans="1:13" ht="46.2" thickBot="1" x14ac:dyDescent="0.35">
      <c r="A16" s="193" t="s">
        <v>55</v>
      </c>
      <c r="B16" s="1">
        <v>13</v>
      </c>
      <c r="C16" s="55" t="s">
        <v>264</v>
      </c>
      <c r="D16" s="1" t="s">
        <v>11</v>
      </c>
      <c r="E16" s="1" t="s">
        <v>265</v>
      </c>
      <c r="F16" s="116">
        <v>45723</v>
      </c>
      <c r="G16" s="55" t="s">
        <v>266</v>
      </c>
      <c r="H16" s="1" t="s">
        <v>221</v>
      </c>
      <c r="I16" s="56"/>
    </row>
    <row r="17" spans="1:9" ht="46.2" thickBot="1" x14ac:dyDescent="0.35">
      <c r="A17" s="168"/>
      <c r="B17" s="1">
        <v>14</v>
      </c>
      <c r="C17" s="55" t="s">
        <v>267</v>
      </c>
      <c r="D17" s="1" t="s">
        <v>11</v>
      </c>
      <c r="E17" s="1" t="s">
        <v>268</v>
      </c>
      <c r="F17" s="116">
        <v>45723</v>
      </c>
      <c r="G17" s="55" t="s">
        <v>269</v>
      </c>
      <c r="H17" s="1" t="s">
        <v>221</v>
      </c>
      <c r="I17" s="56"/>
    </row>
    <row r="18" spans="1:9" ht="21" thickBot="1" x14ac:dyDescent="0.35">
      <c r="A18" s="190"/>
      <c r="B18" s="182"/>
      <c r="C18" s="182"/>
      <c r="D18" s="182"/>
      <c r="E18" s="182"/>
      <c r="F18" s="182"/>
      <c r="G18" s="182"/>
      <c r="H18" s="182"/>
      <c r="I18" s="183"/>
    </row>
    <row r="19" spans="1:9" ht="46.2" thickBot="1" x14ac:dyDescent="0.35">
      <c r="A19" s="24" t="s">
        <v>59</v>
      </c>
      <c r="B19" s="1">
        <v>15</v>
      </c>
      <c r="C19" s="8" t="s">
        <v>245</v>
      </c>
      <c r="D19" s="1" t="s">
        <v>11</v>
      </c>
      <c r="E19" s="1" t="s">
        <v>270</v>
      </c>
      <c r="F19" s="116">
        <v>45724</v>
      </c>
      <c r="G19" s="55" t="s">
        <v>271</v>
      </c>
      <c r="H19" s="1" t="s">
        <v>221</v>
      </c>
      <c r="I19" s="56"/>
    </row>
    <row r="20" spans="1:9" ht="21" thickBot="1" x14ac:dyDescent="0.35">
      <c r="A20" s="190"/>
      <c r="B20" s="182"/>
      <c r="C20" s="182"/>
      <c r="D20" s="182"/>
      <c r="E20" s="182"/>
      <c r="F20" s="182"/>
      <c r="G20" s="182"/>
      <c r="H20" s="182"/>
      <c r="I20" s="183"/>
    </row>
    <row r="21" spans="1:9" ht="46.2" thickBot="1" x14ac:dyDescent="0.35">
      <c r="A21" s="24" t="s">
        <v>62</v>
      </c>
      <c r="B21" s="1">
        <v>16</v>
      </c>
      <c r="C21" s="8" t="s">
        <v>272</v>
      </c>
      <c r="D21" s="1" t="s">
        <v>11</v>
      </c>
      <c r="E21" s="1" t="s">
        <v>273</v>
      </c>
      <c r="F21" s="116">
        <v>45724</v>
      </c>
      <c r="G21" s="1" t="s">
        <v>274</v>
      </c>
      <c r="H21" s="1" t="s">
        <v>221</v>
      </c>
      <c r="I21" s="56"/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12"/>
    <mergeCell ref="A15:I15"/>
    <mergeCell ref="A16:A17"/>
    <mergeCell ref="A18:I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AB12-74C1-47B3-9014-BB0E624802F2}">
  <sheetPr codeName="Sheet6"/>
  <dimension ref="A1:I10"/>
  <sheetViews>
    <sheetView workbookViewId="0">
      <selection activeCell="K9" sqref="K9"/>
    </sheetView>
  </sheetViews>
  <sheetFormatPr defaultRowHeight="14.4" x14ac:dyDescent="0.3"/>
  <cols>
    <col min="1" max="1" width="21.5546875" customWidth="1"/>
    <col min="2" max="2" width="35.5546875" customWidth="1"/>
    <col min="3" max="3" width="22.5546875" customWidth="1"/>
    <col min="4" max="4" width="17.109375" customWidth="1"/>
    <col min="5" max="5" width="16" customWidth="1"/>
    <col min="6" max="6" width="21.44140625" customWidth="1"/>
    <col min="7" max="7" width="20.77734375" customWidth="1"/>
    <col min="8" max="8" width="17.33203125" customWidth="1"/>
    <col min="9" max="9" width="19.109375" customWidth="1"/>
  </cols>
  <sheetData>
    <row r="1" spans="1:9" ht="46.2" thickBot="1" x14ac:dyDescent="0.35">
      <c r="A1" s="48" t="s">
        <v>68</v>
      </c>
      <c r="B1" s="1" t="s">
        <v>31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6" t="s">
        <v>99</v>
      </c>
    </row>
    <row r="2" spans="1:9" ht="23.4" thickBot="1" x14ac:dyDescent="0.65">
      <c r="A2" t="s">
        <v>69</v>
      </c>
      <c r="B2" s="57" t="s">
        <v>57</v>
      </c>
      <c r="C2" s="58">
        <v>3</v>
      </c>
      <c r="D2" s="58">
        <v>3</v>
      </c>
      <c r="E2" s="58">
        <v>0</v>
      </c>
      <c r="F2" s="58">
        <v>6</v>
      </c>
      <c r="G2" s="58">
        <v>9</v>
      </c>
      <c r="H2" s="58">
        <v>3</v>
      </c>
      <c r="I2" s="59">
        <v>6</v>
      </c>
    </row>
    <row r="3" spans="1:9" ht="23.4" thickBot="1" x14ac:dyDescent="0.65">
      <c r="A3" t="s">
        <v>69</v>
      </c>
      <c r="B3" s="57" t="s">
        <v>72</v>
      </c>
      <c r="C3" s="58">
        <v>3</v>
      </c>
      <c r="D3" s="58">
        <v>1</v>
      </c>
      <c r="E3" s="58">
        <v>2</v>
      </c>
      <c r="F3" s="58">
        <v>2</v>
      </c>
      <c r="G3" s="58">
        <v>7</v>
      </c>
      <c r="H3" s="58">
        <v>6</v>
      </c>
      <c r="I3" s="59">
        <v>1</v>
      </c>
    </row>
    <row r="4" spans="1:9" ht="23.4" thickBot="1" x14ac:dyDescent="0.65">
      <c r="A4" t="s">
        <v>69</v>
      </c>
      <c r="B4" s="57" t="s">
        <v>17</v>
      </c>
      <c r="C4" s="62">
        <v>3</v>
      </c>
      <c r="D4" s="62">
        <v>0</v>
      </c>
      <c r="E4" s="62">
        <v>3</v>
      </c>
      <c r="F4" s="62">
        <v>0</v>
      </c>
      <c r="G4" s="62">
        <v>0</v>
      </c>
      <c r="H4" s="62">
        <v>9</v>
      </c>
      <c r="I4" s="63">
        <v>-9</v>
      </c>
    </row>
    <row r="5" spans="1:9" ht="23.4" thickBot="1" x14ac:dyDescent="0.65">
      <c r="A5" t="s">
        <v>69</v>
      </c>
      <c r="B5" s="57" t="s">
        <v>22</v>
      </c>
      <c r="C5" s="64">
        <v>3</v>
      </c>
      <c r="D5" s="62">
        <v>2</v>
      </c>
      <c r="E5" s="62">
        <v>1</v>
      </c>
      <c r="F5" s="62">
        <v>4</v>
      </c>
      <c r="G5" s="62">
        <v>7</v>
      </c>
      <c r="H5" s="62">
        <v>5</v>
      </c>
      <c r="I5" s="63">
        <v>2</v>
      </c>
    </row>
    <row r="6" spans="1:9" ht="15" thickBot="1" x14ac:dyDescent="0.35"/>
    <row r="7" spans="1:9" ht="23.4" thickBot="1" x14ac:dyDescent="0.65">
      <c r="A7" t="s">
        <v>70</v>
      </c>
      <c r="B7" s="60" t="s">
        <v>78</v>
      </c>
      <c r="C7" s="58">
        <v>3</v>
      </c>
      <c r="D7" s="58">
        <v>0</v>
      </c>
      <c r="E7" s="58">
        <v>3</v>
      </c>
      <c r="F7" s="58">
        <v>0</v>
      </c>
      <c r="G7" s="58">
        <v>4</v>
      </c>
      <c r="H7" s="58">
        <v>9</v>
      </c>
      <c r="I7" s="61">
        <v>-5</v>
      </c>
    </row>
    <row r="8" spans="1:9" ht="23.4" thickBot="1" x14ac:dyDescent="0.65">
      <c r="A8" t="s">
        <v>70</v>
      </c>
      <c r="B8" s="57" t="s">
        <v>52</v>
      </c>
      <c r="C8" s="58">
        <v>3</v>
      </c>
      <c r="D8" s="58">
        <v>3</v>
      </c>
      <c r="E8" s="58">
        <v>0</v>
      </c>
      <c r="F8" s="58">
        <v>6</v>
      </c>
      <c r="G8" s="58">
        <v>9</v>
      </c>
      <c r="H8" s="58">
        <v>3</v>
      </c>
      <c r="I8" s="58">
        <v>6</v>
      </c>
    </row>
    <row r="9" spans="1:9" ht="23.4" thickBot="1" x14ac:dyDescent="0.65">
      <c r="A9" t="s">
        <v>70</v>
      </c>
      <c r="B9" s="57" t="s">
        <v>49</v>
      </c>
      <c r="C9" s="62">
        <v>2</v>
      </c>
      <c r="D9" s="62">
        <v>1</v>
      </c>
      <c r="E9" s="62">
        <v>1</v>
      </c>
      <c r="F9" s="62">
        <v>2</v>
      </c>
      <c r="G9" s="62">
        <v>3</v>
      </c>
      <c r="H9" s="62">
        <v>5</v>
      </c>
      <c r="I9" s="62">
        <v>-2</v>
      </c>
    </row>
    <row r="10" spans="1:9" ht="23.4" thickBot="1" x14ac:dyDescent="0.65">
      <c r="A10" t="s">
        <v>70</v>
      </c>
      <c r="B10" s="57" t="s">
        <v>56</v>
      </c>
      <c r="C10" s="62">
        <v>2</v>
      </c>
      <c r="D10" s="62">
        <v>1</v>
      </c>
      <c r="E10" s="62">
        <v>1</v>
      </c>
      <c r="F10" s="62">
        <v>2</v>
      </c>
      <c r="G10" s="62">
        <v>5</v>
      </c>
      <c r="H10" s="62">
        <v>4</v>
      </c>
      <c r="I10" s="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2980-9BF9-4606-B327-EBFA27878502}">
  <sheetPr codeName="Sheet4"/>
  <dimension ref="A1:P1000"/>
  <sheetViews>
    <sheetView topLeftCell="B1" workbookViewId="0">
      <selection activeCell="K9" sqref="K9"/>
    </sheetView>
  </sheetViews>
  <sheetFormatPr defaultColWidth="12.6640625" defaultRowHeight="14.4" x14ac:dyDescent="0.3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27.44140625" customWidth="1"/>
    <col min="6" max="6" width="26.109375" customWidth="1"/>
    <col min="7" max="7" width="20.77734375" customWidth="1"/>
    <col min="8" max="8" width="19.77734375" customWidth="1"/>
    <col min="9" max="9" width="33.21875" customWidth="1"/>
  </cols>
  <sheetData>
    <row r="1" spans="1:16" ht="40.5" customHeight="1" thickBot="1" x14ac:dyDescent="0.35">
      <c r="A1" s="195" t="s">
        <v>71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6" ht="51.75" customHeight="1" thickBot="1" x14ac:dyDescent="0.35">
      <c r="A2" s="1"/>
      <c r="B2" s="2" t="s">
        <v>1</v>
      </c>
      <c r="C2" s="3" t="s">
        <v>2</v>
      </c>
      <c r="D2" s="4" t="s">
        <v>3</v>
      </c>
      <c r="E2" s="5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7"/>
    </row>
    <row r="3" spans="1:16" ht="39.75" customHeight="1" thickBot="1" x14ac:dyDescent="0.35">
      <c r="A3" s="193" t="s">
        <v>9</v>
      </c>
      <c r="B3" s="7">
        <v>1</v>
      </c>
      <c r="C3" s="8" t="s">
        <v>57</v>
      </c>
      <c r="D3" s="9" t="s">
        <v>11</v>
      </c>
      <c r="E3" s="7" t="s">
        <v>72</v>
      </c>
      <c r="F3" s="10">
        <v>45716</v>
      </c>
      <c r="G3" s="7" t="s">
        <v>73</v>
      </c>
      <c r="H3" s="7" t="s">
        <v>74</v>
      </c>
      <c r="I3" s="49" t="s">
        <v>75</v>
      </c>
      <c r="J3" s="27"/>
    </row>
    <row r="4" spans="1:16" ht="37.5" customHeight="1" thickBot="1" x14ac:dyDescent="0.35">
      <c r="A4" s="167"/>
      <c r="B4" s="12">
        <v>2</v>
      </c>
      <c r="C4" s="12" t="s">
        <v>49</v>
      </c>
      <c r="D4" s="12" t="s">
        <v>11</v>
      </c>
      <c r="E4" s="8" t="s">
        <v>52</v>
      </c>
      <c r="F4" s="13">
        <v>45717</v>
      </c>
      <c r="G4" s="12" t="s">
        <v>76</v>
      </c>
      <c r="H4" s="12" t="s">
        <v>74</v>
      </c>
      <c r="I4" s="50" t="s">
        <v>77</v>
      </c>
      <c r="J4" s="27"/>
      <c r="K4" s="39"/>
      <c r="L4" s="39"/>
      <c r="M4" s="39"/>
      <c r="N4" s="39"/>
      <c r="O4" s="51"/>
      <c r="P4" s="39"/>
    </row>
    <row r="5" spans="1:16" ht="37.5" customHeight="1" thickBot="1" x14ac:dyDescent="0.35">
      <c r="A5" s="167"/>
      <c r="B5" s="12">
        <v>3</v>
      </c>
      <c r="C5" s="8" t="s">
        <v>56</v>
      </c>
      <c r="D5" s="12" t="s">
        <v>11</v>
      </c>
      <c r="E5" s="12" t="s">
        <v>78</v>
      </c>
      <c r="F5" s="13">
        <v>45717</v>
      </c>
      <c r="G5" s="12" t="s">
        <v>79</v>
      </c>
      <c r="H5" s="12" t="s">
        <v>74</v>
      </c>
      <c r="I5" s="50" t="s">
        <v>80</v>
      </c>
      <c r="J5" s="27"/>
    </row>
    <row r="6" spans="1:16" ht="37.5" customHeight="1" thickBot="1" x14ac:dyDescent="0.35">
      <c r="A6" s="167"/>
      <c r="B6" s="7">
        <v>4</v>
      </c>
      <c r="C6" s="8" t="s">
        <v>57</v>
      </c>
      <c r="D6" s="7" t="s">
        <v>11</v>
      </c>
      <c r="E6" s="7" t="s">
        <v>22</v>
      </c>
      <c r="F6" s="10">
        <v>45717</v>
      </c>
      <c r="G6" s="7" t="s">
        <v>73</v>
      </c>
      <c r="H6" s="7" t="s">
        <v>74</v>
      </c>
      <c r="I6" s="49" t="s">
        <v>80</v>
      </c>
    </row>
    <row r="7" spans="1:16" ht="39" customHeight="1" thickBot="1" x14ac:dyDescent="0.35">
      <c r="A7" s="167"/>
      <c r="B7" s="7">
        <v>5</v>
      </c>
      <c r="C7" s="52" t="s">
        <v>17</v>
      </c>
      <c r="D7" s="7" t="s">
        <v>11</v>
      </c>
      <c r="E7" s="8" t="s">
        <v>72</v>
      </c>
      <c r="F7" s="10">
        <v>45718</v>
      </c>
      <c r="G7" s="7" t="s">
        <v>81</v>
      </c>
      <c r="H7" s="7" t="s">
        <v>74</v>
      </c>
      <c r="I7" s="49" t="s">
        <v>77</v>
      </c>
      <c r="J7" s="27"/>
    </row>
    <row r="8" spans="1:16" ht="38.25" customHeight="1" thickBot="1" x14ac:dyDescent="0.35">
      <c r="A8" s="167"/>
      <c r="B8" s="12">
        <v>6</v>
      </c>
      <c r="C8" s="12" t="s">
        <v>78</v>
      </c>
      <c r="D8" s="12" t="s">
        <v>11</v>
      </c>
      <c r="E8" s="8" t="s">
        <v>49</v>
      </c>
      <c r="F8" s="13">
        <v>45718</v>
      </c>
      <c r="G8" s="12" t="s">
        <v>82</v>
      </c>
      <c r="H8" s="12" t="s">
        <v>74</v>
      </c>
      <c r="I8" s="50" t="s">
        <v>83</v>
      </c>
      <c r="J8" s="27"/>
      <c r="K8" s="7"/>
      <c r="L8" s="7"/>
      <c r="M8" s="7"/>
    </row>
    <row r="9" spans="1:16" ht="37.5" customHeight="1" thickBot="1" x14ac:dyDescent="0.35">
      <c r="A9" s="167"/>
      <c r="B9" s="12">
        <v>7</v>
      </c>
      <c r="C9" s="8" t="s">
        <v>52</v>
      </c>
      <c r="D9" s="12" t="s">
        <v>11</v>
      </c>
      <c r="E9" s="12" t="s">
        <v>56</v>
      </c>
      <c r="F9" s="13">
        <v>45718</v>
      </c>
      <c r="G9" s="12" t="s">
        <v>84</v>
      </c>
      <c r="H9" s="12" t="s">
        <v>74</v>
      </c>
      <c r="I9" s="50" t="s">
        <v>75</v>
      </c>
      <c r="J9" s="27"/>
    </row>
    <row r="10" spans="1:16" ht="38.25" customHeight="1" thickBot="1" x14ac:dyDescent="0.35">
      <c r="A10" s="167"/>
      <c r="B10" s="7">
        <v>8</v>
      </c>
      <c r="C10" s="8" t="s">
        <v>57</v>
      </c>
      <c r="D10" s="7" t="s">
        <v>11</v>
      </c>
      <c r="E10" s="7" t="s">
        <v>17</v>
      </c>
      <c r="F10" s="10">
        <v>45718</v>
      </c>
      <c r="G10" s="7" t="s">
        <v>85</v>
      </c>
      <c r="H10" s="7" t="s">
        <v>74</v>
      </c>
      <c r="I10" s="49" t="s">
        <v>86</v>
      </c>
      <c r="J10" s="27"/>
    </row>
    <row r="11" spans="1:16" ht="39" customHeight="1" thickBot="1" x14ac:dyDescent="0.35">
      <c r="A11" s="167"/>
      <c r="B11" s="7">
        <v>9</v>
      </c>
      <c r="C11" s="7" t="s">
        <v>72</v>
      </c>
      <c r="D11" s="7" t="s">
        <v>11</v>
      </c>
      <c r="E11" s="8" t="s">
        <v>22</v>
      </c>
      <c r="F11" s="10">
        <v>45719</v>
      </c>
      <c r="G11" s="7" t="s">
        <v>73</v>
      </c>
      <c r="H11" s="7" t="s">
        <v>74</v>
      </c>
      <c r="I11" s="15">
        <v>45691</v>
      </c>
      <c r="J11" s="27"/>
    </row>
    <row r="12" spans="1:16" ht="39" customHeight="1" thickBot="1" x14ac:dyDescent="0.35">
      <c r="A12" s="167"/>
      <c r="B12" s="7">
        <v>10</v>
      </c>
      <c r="C12" s="8" t="s">
        <v>22</v>
      </c>
      <c r="D12" s="7" t="s">
        <v>11</v>
      </c>
      <c r="E12" s="7" t="s">
        <v>17</v>
      </c>
      <c r="F12" s="10">
        <v>45720</v>
      </c>
      <c r="G12" s="7" t="s">
        <v>73</v>
      </c>
      <c r="H12" s="7" t="s">
        <v>74</v>
      </c>
      <c r="I12" s="11" t="s">
        <v>86</v>
      </c>
      <c r="J12" s="27"/>
    </row>
    <row r="13" spans="1:16" ht="37.5" customHeight="1" thickBot="1" x14ac:dyDescent="0.35">
      <c r="A13" s="167"/>
      <c r="B13" s="12">
        <v>11</v>
      </c>
      <c r="C13" s="8" t="s">
        <v>52</v>
      </c>
      <c r="D13" s="12" t="s">
        <v>11</v>
      </c>
      <c r="E13" s="12" t="s">
        <v>78</v>
      </c>
      <c r="F13" s="13">
        <v>45721</v>
      </c>
      <c r="G13" s="12" t="s">
        <v>73</v>
      </c>
      <c r="H13" s="12" t="s">
        <v>74</v>
      </c>
      <c r="I13" s="53">
        <v>45717</v>
      </c>
      <c r="J13" s="27"/>
    </row>
    <row r="14" spans="1:16" ht="39" customHeight="1" thickBot="1" x14ac:dyDescent="0.35">
      <c r="A14" s="168"/>
      <c r="B14" s="12">
        <v>12</v>
      </c>
      <c r="C14" s="12" t="s">
        <v>49</v>
      </c>
      <c r="D14" s="12" t="s">
        <v>11</v>
      </c>
      <c r="E14" s="8" t="s">
        <v>56</v>
      </c>
      <c r="F14" s="13">
        <v>45723</v>
      </c>
      <c r="G14" s="12" t="s">
        <v>73</v>
      </c>
      <c r="H14" s="12" t="s">
        <v>74</v>
      </c>
      <c r="I14" s="14"/>
      <c r="J14" s="27"/>
    </row>
    <row r="15" spans="1:16" ht="33" customHeight="1" thickBot="1" x14ac:dyDescent="0.35">
      <c r="A15" s="190"/>
      <c r="B15" s="182"/>
      <c r="C15" s="182"/>
      <c r="D15" s="182"/>
      <c r="E15" s="182"/>
      <c r="F15" s="182"/>
      <c r="G15" s="182"/>
      <c r="H15" s="182"/>
      <c r="I15" s="183"/>
      <c r="J15" s="27"/>
    </row>
    <row r="16" spans="1:16" ht="37.5" customHeight="1" thickBot="1" x14ac:dyDescent="0.35">
      <c r="A16" s="193" t="s">
        <v>55</v>
      </c>
      <c r="B16" s="1">
        <v>13</v>
      </c>
      <c r="C16" s="8" t="s">
        <v>87</v>
      </c>
      <c r="D16" s="1" t="s">
        <v>11</v>
      </c>
      <c r="E16" s="1" t="s">
        <v>88</v>
      </c>
      <c r="F16" s="54">
        <v>45724</v>
      </c>
      <c r="G16" s="55" t="s">
        <v>81</v>
      </c>
      <c r="H16" s="1" t="s">
        <v>74</v>
      </c>
      <c r="I16" s="56"/>
      <c r="J16" s="27"/>
    </row>
    <row r="17" spans="1:10" ht="39" customHeight="1" thickBot="1" x14ac:dyDescent="0.35">
      <c r="A17" s="168"/>
      <c r="B17" s="1">
        <v>14</v>
      </c>
      <c r="C17" s="8" t="s">
        <v>89</v>
      </c>
      <c r="D17" s="1" t="s">
        <v>11</v>
      </c>
      <c r="E17" s="55" t="s">
        <v>90</v>
      </c>
      <c r="F17" s="54">
        <v>45724</v>
      </c>
      <c r="G17" s="55" t="s">
        <v>82</v>
      </c>
      <c r="H17" s="1" t="s">
        <v>74</v>
      </c>
      <c r="I17" s="56"/>
      <c r="J17" s="27"/>
    </row>
    <row r="18" spans="1:10" ht="33" customHeight="1" thickBot="1" x14ac:dyDescent="0.35">
      <c r="A18" s="190"/>
      <c r="B18" s="182"/>
      <c r="C18" s="182"/>
      <c r="D18" s="182"/>
      <c r="E18" s="182"/>
      <c r="F18" s="182"/>
      <c r="G18" s="182"/>
      <c r="H18" s="182"/>
      <c r="I18" s="183"/>
      <c r="J18" s="27"/>
    </row>
    <row r="19" spans="1:10" ht="38.25" customHeight="1" thickBot="1" x14ac:dyDescent="0.35">
      <c r="A19" s="24" t="s">
        <v>59</v>
      </c>
      <c r="B19" s="1">
        <v>15</v>
      </c>
      <c r="C19" s="1" t="s">
        <v>25</v>
      </c>
      <c r="D19" s="1" t="s">
        <v>11</v>
      </c>
      <c r="E19" s="1" t="s">
        <v>91</v>
      </c>
      <c r="F19" s="54">
        <v>45724</v>
      </c>
      <c r="G19" s="55" t="s">
        <v>73</v>
      </c>
      <c r="H19" s="1" t="s">
        <v>74</v>
      </c>
      <c r="I19" s="56"/>
      <c r="J19" s="27"/>
    </row>
    <row r="20" spans="1:10" ht="30.75" customHeight="1" thickBot="1" x14ac:dyDescent="0.35">
      <c r="A20" s="190"/>
      <c r="B20" s="182"/>
      <c r="C20" s="182"/>
      <c r="D20" s="182"/>
      <c r="E20" s="182"/>
      <c r="F20" s="182"/>
      <c r="G20" s="182"/>
      <c r="H20" s="182"/>
      <c r="I20" s="183"/>
      <c r="J20" s="27"/>
    </row>
    <row r="21" spans="1:10" ht="33" customHeight="1" thickBot="1" x14ac:dyDescent="0.35">
      <c r="A21" s="24" t="s">
        <v>62</v>
      </c>
      <c r="B21" s="1">
        <v>16</v>
      </c>
      <c r="C21" s="1" t="s">
        <v>50</v>
      </c>
      <c r="D21" s="1" t="s">
        <v>11</v>
      </c>
      <c r="E21" s="1" t="s">
        <v>23</v>
      </c>
      <c r="F21" s="54">
        <v>45725</v>
      </c>
      <c r="G21" s="55" t="s">
        <v>92</v>
      </c>
      <c r="H21" s="1" t="s">
        <v>74</v>
      </c>
      <c r="I21" s="56"/>
      <c r="J21" s="27"/>
    </row>
    <row r="22" spans="1:10" ht="33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30.75" customHeight="1" x14ac:dyDescent="0.3">
      <c r="A23" s="27"/>
      <c r="B23" s="27"/>
      <c r="C23" s="27"/>
      <c r="D23" s="27"/>
      <c r="F23" s="27"/>
      <c r="G23" s="27"/>
      <c r="H23" s="27"/>
      <c r="I23" s="27"/>
      <c r="J23" s="27"/>
    </row>
    <row r="24" spans="1:10" ht="32.25" customHeight="1" x14ac:dyDescent="0.3">
      <c r="A24" s="27"/>
      <c r="B24" s="27"/>
      <c r="D24" s="27"/>
      <c r="E24" s="27"/>
      <c r="F24" s="27"/>
      <c r="G24" s="27"/>
      <c r="H24" s="27"/>
      <c r="I24" s="27"/>
      <c r="J24" s="27"/>
    </row>
    <row r="25" spans="1:10" ht="31.5" customHeight="1" x14ac:dyDescent="0.3">
      <c r="A25" s="27"/>
      <c r="B25" s="27"/>
      <c r="C25" s="27"/>
      <c r="D25" s="27"/>
      <c r="F25" s="27"/>
      <c r="G25" s="27"/>
      <c r="H25" s="27"/>
      <c r="I25" s="27"/>
      <c r="J25" s="27"/>
    </row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E61C-0112-451F-A67F-ED7F0B9161D9}">
  <sheetPr codeName="Sheet7"/>
  <dimension ref="A1:I8"/>
  <sheetViews>
    <sheetView workbookViewId="0">
      <selection activeCell="K9" sqref="K9"/>
    </sheetView>
  </sheetViews>
  <sheetFormatPr defaultRowHeight="14.4" x14ac:dyDescent="0.3"/>
  <cols>
    <col min="1" max="1" width="18" customWidth="1"/>
    <col min="2" max="2" width="35.6640625" customWidth="1"/>
    <col min="3" max="3" width="15.109375" customWidth="1"/>
    <col min="4" max="4" width="15.6640625" customWidth="1"/>
    <col min="5" max="5" width="12.21875" customWidth="1"/>
    <col min="6" max="6" width="15.6640625" customWidth="1"/>
    <col min="7" max="7" width="13.21875" customWidth="1"/>
    <col min="8" max="8" width="13.77734375" customWidth="1"/>
    <col min="9" max="9" width="14.33203125" customWidth="1"/>
  </cols>
  <sheetData>
    <row r="1" spans="1:9" ht="46.2" thickBot="1" x14ac:dyDescent="0.35">
      <c r="A1" s="48" t="s">
        <v>68</v>
      </c>
      <c r="B1" s="1" t="s">
        <v>31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6" t="s">
        <v>99</v>
      </c>
    </row>
    <row r="2" spans="1:9" ht="23.4" thickBot="1" x14ac:dyDescent="0.65">
      <c r="A2" t="s">
        <v>69</v>
      </c>
      <c r="B2" s="57" t="s">
        <v>27</v>
      </c>
      <c r="C2" s="58">
        <v>2</v>
      </c>
      <c r="D2" s="58">
        <v>0</v>
      </c>
      <c r="E2" s="58">
        <v>2</v>
      </c>
      <c r="F2" s="58">
        <v>0</v>
      </c>
      <c r="G2" s="58">
        <v>0</v>
      </c>
      <c r="H2" s="58">
        <v>4</v>
      </c>
      <c r="I2" s="59">
        <v>-4</v>
      </c>
    </row>
    <row r="3" spans="1:9" ht="23.4" thickBot="1" x14ac:dyDescent="0.65">
      <c r="A3" t="s">
        <v>69</v>
      </c>
      <c r="B3" s="73" t="s">
        <v>101</v>
      </c>
      <c r="C3" s="74">
        <v>2</v>
      </c>
      <c r="D3" s="75">
        <v>1</v>
      </c>
      <c r="E3" s="74">
        <v>1</v>
      </c>
      <c r="F3" s="75">
        <v>2</v>
      </c>
      <c r="G3" s="75">
        <v>2</v>
      </c>
      <c r="H3" s="74">
        <v>2</v>
      </c>
      <c r="I3" s="76">
        <v>0</v>
      </c>
    </row>
    <row r="4" spans="1:9" ht="23.4" thickBot="1" x14ac:dyDescent="0.65">
      <c r="A4" t="s">
        <v>69</v>
      </c>
      <c r="B4" s="73" t="s">
        <v>22</v>
      </c>
      <c r="C4" s="74">
        <v>2</v>
      </c>
      <c r="D4" s="74">
        <v>2</v>
      </c>
      <c r="E4" s="75">
        <v>0</v>
      </c>
      <c r="F4" s="74">
        <v>4</v>
      </c>
      <c r="G4" s="74">
        <v>2</v>
      </c>
      <c r="H4" s="75">
        <v>0</v>
      </c>
      <c r="I4" s="76">
        <v>4</v>
      </c>
    </row>
    <row r="5" spans="1:9" ht="23.4" thickBot="1" x14ac:dyDescent="0.65">
      <c r="A5" t="s">
        <v>70</v>
      </c>
      <c r="B5" s="57" t="s">
        <v>72</v>
      </c>
      <c r="C5" s="58">
        <v>1</v>
      </c>
      <c r="D5" s="58">
        <v>0</v>
      </c>
      <c r="E5" s="58">
        <v>1</v>
      </c>
      <c r="F5" s="58">
        <v>0</v>
      </c>
      <c r="G5" s="58">
        <v>0</v>
      </c>
      <c r="H5" s="58">
        <v>2</v>
      </c>
      <c r="I5" s="61">
        <v>-2</v>
      </c>
    </row>
    <row r="6" spans="1:9" ht="23.4" thickBot="1" x14ac:dyDescent="0.65">
      <c r="A6" t="s">
        <v>70</v>
      </c>
      <c r="B6" s="60" t="s">
        <v>104</v>
      </c>
      <c r="C6" s="58">
        <v>3</v>
      </c>
      <c r="D6" s="58">
        <v>3</v>
      </c>
      <c r="E6" s="58">
        <v>0</v>
      </c>
      <c r="F6" s="58">
        <v>6</v>
      </c>
      <c r="G6" s="58">
        <v>6</v>
      </c>
      <c r="H6" s="58">
        <v>0</v>
      </c>
      <c r="I6" s="58">
        <v>6</v>
      </c>
    </row>
    <row r="7" spans="1:9" ht="23.4" thickBot="1" x14ac:dyDescent="0.65">
      <c r="A7" t="s">
        <v>70</v>
      </c>
      <c r="B7" s="57" t="s">
        <v>52</v>
      </c>
      <c r="C7" s="62">
        <v>2</v>
      </c>
      <c r="D7" s="62">
        <v>1</v>
      </c>
      <c r="E7" s="62">
        <v>1</v>
      </c>
      <c r="F7" s="62">
        <v>2</v>
      </c>
      <c r="G7" s="62">
        <v>2</v>
      </c>
      <c r="H7" s="62">
        <v>3</v>
      </c>
      <c r="I7" s="62">
        <v>-1</v>
      </c>
    </row>
    <row r="8" spans="1:9" ht="23.4" thickBot="1" x14ac:dyDescent="0.65">
      <c r="A8" t="s">
        <v>70</v>
      </c>
      <c r="B8" s="57" t="s">
        <v>78</v>
      </c>
      <c r="C8" s="62">
        <v>2</v>
      </c>
      <c r="D8" s="62">
        <v>0</v>
      </c>
      <c r="E8" s="62">
        <v>2</v>
      </c>
      <c r="F8" s="62">
        <v>0</v>
      </c>
      <c r="G8" s="62">
        <v>1</v>
      </c>
      <c r="H8" s="62">
        <v>4</v>
      </c>
      <c r="I8" s="62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3DED-7C04-475E-982A-1D5DCD3C36AA}">
  <sheetPr codeName="Sheet5"/>
  <dimension ref="A1:L1000"/>
  <sheetViews>
    <sheetView workbookViewId="0">
      <selection activeCell="K9" sqref="K9"/>
    </sheetView>
  </sheetViews>
  <sheetFormatPr defaultColWidth="12.6640625" defaultRowHeight="14.4" x14ac:dyDescent="0.3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30.88671875" customWidth="1"/>
    <col min="6" max="6" width="39.44140625" customWidth="1"/>
    <col min="7" max="7" width="19.33203125" customWidth="1"/>
    <col min="8" max="8" width="19.77734375" customWidth="1"/>
    <col min="9" max="9" width="33.21875" customWidth="1"/>
  </cols>
  <sheetData>
    <row r="1" spans="1:12" ht="40.5" customHeight="1" thickBot="1" x14ac:dyDescent="0.35">
      <c r="A1" s="195" t="s">
        <v>100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2" ht="51.75" customHeight="1" thickBot="1" x14ac:dyDescent="0.35">
      <c r="A2" s="1"/>
      <c r="B2" s="2" t="s">
        <v>1</v>
      </c>
      <c r="C2" s="3" t="s">
        <v>2</v>
      </c>
      <c r="D2" s="4" t="s">
        <v>3</v>
      </c>
      <c r="E2" s="5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7"/>
    </row>
    <row r="3" spans="1:12" ht="39.75" customHeight="1" thickBot="1" x14ac:dyDescent="0.35">
      <c r="A3" s="193" t="s">
        <v>9</v>
      </c>
      <c r="B3" s="7">
        <v>1</v>
      </c>
      <c r="C3" s="7" t="s">
        <v>27</v>
      </c>
      <c r="D3" s="9" t="s">
        <v>11</v>
      </c>
      <c r="E3" s="8" t="s">
        <v>22</v>
      </c>
      <c r="F3" s="10">
        <v>45716</v>
      </c>
      <c r="G3" s="7" t="s">
        <v>13</v>
      </c>
      <c r="H3" s="7" t="s">
        <v>74</v>
      </c>
      <c r="I3" s="49" t="s">
        <v>21</v>
      </c>
      <c r="J3" s="27"/>
      <c r="L3" s="65"/>
    </row>
    <row r="4" spans="1:12" ht="37.5" customHeight="1" thickBot="1" x14ac:dyDescent="0.35">
      <c r="A4" s="167"/>
      <c r="B4" s="66">
        <v>2</v>
      </c>
      <c r="C4" s="66" t="s">
        <v>101</v>
      </c>
      <c r="D4" s="66" t="s">
        <v>11</v>
      </c>
      <c r="E4" s="66" t="s">
        <v>102</v>
      </c>
      <c r="F4" s="67">
        <v>45717</v>
      </c>
      <c r="G4" s="66" t="s">
        <v>103</v>
      </c>
      <c r="H4" s="66" t="s">
        <v>74</v>
      </c>
      <c r="I4" s="68"/>
      <c r="J4" s="27"/>
      <c r="K4" s="65"/>
      <c r="L4" s="65"/>
    </row>
    <row r="5" spans="1:12" ht="37.5" customHeight="1" thickBot="1" x14ac:dyDescent="0.35">
      <c r="A5" s="167"/>
      <c r="B5" s="12">
        <v>3</v>
      </c>
      <c r="C5" s="12" t="s">
        <v>72</v>
      </c>
      <c r="D5" s="12" t="s">
        <v>11</v>
      </c>
      <c r="E5" s="8" t="s">
        <v>104</v>
      </c>
      <c r="F5" s="13">
        <v>45717</v>
      </c>
      <c r="G5" s="12" t="s">
        <v>105</v>
      </c>
      <c r="H5" s="12" t="s">
        <v>74</v>
      </c>
      <c r="I5" s="50" t="s">
        <v>21</v>
      </c>
      <c r="J5" s="27"/>
      <c r="K5" s="65"/>
      <c r="L5" s="65"/>
    </row>
    <row r="6" spans="1:12" ht="37.5" customHeight="1" thickBot="1" x14ac:dyDescent="0.35">
      <c r="A6" s="167"/>
      <c r="B6" s="12">
        <v>4</v>
      </c>
      <c r="C6" s="8" t="s">
        <v>52</v>
      </c>
      <c r="D6" s="12" t="s">
        <v>11</v>
      </c>
      <c r="E6" s="12" t="s">
        <v>78</v>
      </c>
      <c r="F6" s="13">
        <v>45723</v>
      </c>
      <c r="G6" s="12" t="s">
        <v>106</v>
      </c>
      <c r="H6" s="12" t="s">
        <v>74</v>
      </c>
      <c r="I6" s="50" t="s">
        <v>107</v>
      </c>
      <c r="J6" s="27"/>
      <c r="K6" s="65"/>
      <c r="L6" s="65"/>
    </row>
    <row r="7" spans="1:12" ht="39" customHeight="1" thickBot="1" x14ac:dyDescent="0.35">
      <c r="A7" s="167"/>
      <c r="B7" s="7">
        <v>5</v>
      </c>
      <c r="C7" s="7" t="s">
        <v>27</v>
      </c>
      <c r="D7" s="7" t="s">
        <v>11</v>
      </c>
      <c r="E7" s="8" t="s">
        <v>101</v>
      </c>
      <c r="F7" s="10">
        <v>45718</v>
      </c>
      <c r="G7" s="7" t="s">
        <v>108</v>
      </c>
      <c r="H7" s="7" t="s">
        <v>74</v>
      </c>
      <c r="I7" s="49" t="s">
        <v>21</v>
      </c>
      <c r="J7" s="27"/>
    </row>
    <row r="8" spans="1:12" ht="38.25" customHeight="1" thickBot="1" x14ac:dyDescent="0.35">
      <c r="A8" s="167"/>
      <c r="B8" s="66">
        <v>6</v>
      </c>
      <c r="C8" s="66" t="s">
        <v>102</v>
      </c>
      <c r="D8" s="66" t="s">
        <v>11</v>
      </c>
      <c r="E8" s="66" t="s">
        <v>22</v>
      </c>
      <c r="F8" s="67">
        <v>45718</v>
      </c>
      <c r="G8" s="66" t="s">
        <v>103</v>
      </c>
      <c r="H8" s="66" t="s">
        <v>74</v>
      </c>
      <c r="I8" s="68"/>
      <c r="J8" s="27"/>
    </row>
    <row r="9" spans="1:12" ht="37.5" customHeight="1" thickBot="1" x14ac:dyDescent="0.35">
      <c r="A9" s="167"/>
      <c r="B9" s="69">
        <v>7</v>
      </c>
      <c r="C9" s="69" t="s">
        <v>72</v>
      </c>
      <c r="D9" s="69" t="s">
        <v>11</v>
      </c>
      <c r="E9" s="69" t="s">
        <v>52</v>
      </c>
      <c r="F9" s="70">
        <v>45718</v>
      </c>
      <c r="G9" s="69" t="s">
        <v>109</v>
      </c>
      <c r="H9" s="69" t="s">
        <v>74</v>
      </c>
      <c r="I9" s="50"/>
      <c r="J9" s="27"/>
    </row>
    <row r="10" spans="1:12" ht="38.25" customHeight="1" thickBot="1" x14ac:dyDescent="0.35">
      <c r="A10" s="167"/>
      <c r="B10" s="12">
        <v>8</v>
      </c>
      <c r="C10" s="8" t="s">
        <v>104</v>
      </c>
      <c r="D10" s="12" t="s">
        <v>11</v>
      </c>
      <c r="E10" s="12" t="s">
        <v>78</v>
      </c>
      <c r="F10" s="13">
        <v>45719</v>
      </c>
      <c r="G10" s="12" t="s">
        <v>13</v>
      </c>
      <c r="H10" s="12" t="s">
        <v>74</v>
      </c>
      <c r="I10" s="50" t="s">
        <v>15</v>
      </c>
      <c r="J10" s="27"/>
    </row>
    <row r="11" spans="1:12" ht="39" customHeight="1" thickBot="1" x14ac:dyDescent="0.35">
      <c r="A11" s="167"/>
      <c r="B11" s="7">
        <v>9</v>
      </c>
      <c r="C11" s="7" t="s">
        <v>101</v>
      </c>
      <c r="D11" s="7" t="s">
        <v>11</v>
      </c>
      <c r="E11" s="8" t="s">
        <v>22</v>
      </c>
      <c r="F11" s="10">
        <v>45720</v>
      </c>
      <c r="G11" s="7" t="s">
        <v>13</v>
      </c>
      <c r="H11" s="7" t="s">
        <v>74</v>
      </c>
      <c r="I11" s="11" t="s">
        <v>21</v>
      </c>
      <c r="J11" s="27"/>
      <c r="K11" s="71"/>
    </row>
    <row r="12" spans="1:12" ht="39" customHeight="1" thickBot="1" x14ac:dyDescent="0.35">
      <c r="A12" s="167"/>
      <c r="B12" s="66">
        <v>10</v>
      </c>
      <c r="C12" s="66" t="s">
        <v>102</v>
      </c>
      <c r="D12" s="66" t="s">
        <v>11</v>
      </c>
      <c r="E12" s="66" t="s">
        <v>27</v>
      </c>
      <c r="F12" s="67">
        <v>45721</v>
      </c>
      <c r="G12" s="66" t="s">
        <v>13</v>
      </c>
      <c r="H12" s="66" t="s">
        <v>74</v>
      </c>
      <c r="I12" s="72"/>
      <c r="J12" s="27"/>
    </row>
    <row r="13" spans="1:12" ht="37.5" customHeight="1" thickBot="1" x14ac:dyDescent="0.35">
      <c r="A13" s="167"/>
      <c r="B13" s="12">
        <v>11</v>
      </c>
      <c r="C13" s="12" t="s">
        <v>72</v>
      </c>
      <c r="D13" s="12" t="s">
        <v>11</v>
      </c>
      <c r="E13" s="12" t="s">
        <v>78</v>
      </c>
      <c r="F13" s="13">
        <v>45722</v>
      </c>
      <c r="G13" s="12" t="s">
        <v>13</v>
      </c>
      <c r="H13" s="12" t="s">
        <v>74</v>
      </c>
      <c r="I13" s="14"/>
      <c r="J13" s="27"/>
    </row>
    <row r="14" spans="1:12" ht="39" customHeight="1" thickBot="1" x14ac:dyDescent="0.35">
      <c r="A14" s="168"/>
      <c r="B14" s="12">
        <v>12</v>
      </c>
      <c r="C14" s="8" t="s">
        <v>104</v>
      </c>
      <c r="D14" s="12" t="s">
        <v>11</v>
      </c>
      <c r="E14" s="12" t="s">
        <v>52</v>
      </c>
      <c r="F14" s="13">
        <v>45718</v>
      </c>
      <c r="G14" s="12" t="s">
        <v>13</v>
      </c>
      <c r="H14" s="12" t="s">
        <v>74</v>
      </c>
      <c r="I14" s="14" t="s">
        <v>15</v>
      </c>
      <c r="J14" s="27"/>
    </row>
    <row r="15" spans="1:12" ht="33" customHeight="1" thickBot="1" x14ac:dyDescent="0.35">
      <c r="A15" s="190"/>
      <c r="B15" s="182"/>
      <c r="C15" s="182"/>
      <c r="D15" s="182"/>
      <c r="E15" s="182"/>
      <c r="F15" s="182"/>
      <c r="G15" s="182"/>
      <c r="H15" s="182"/>
      <c r="I15" s="183"/>
      <c r="J15" s="27"/>
    </row>
    <row r="16" spans="1:12" ht="37.5" customHeight="1" thickBot="1" x14ac:dyDescent="0.35">
      <c r="A16" s="193" t="s">
        <v>55</v>
      </c>
      <c r="B16" s="1">
        <v>13</v>
      </c>
      <c r="C16" s="8" t="s">
        <v>110</v>
      </c>
      <c r="D16" s="1" t="s">
        <v>11</v>
      </c>
      <c r="E16" s="1" t="s">
        <v>111</v>
      </c>
      <c r="F16" s="54">
        <v>45724</v>
      </c>
      <c r="G16" s="55" t="s">
        <v>112</v>
      </c>
      <c r="H16" s="1" t="s">
        <v>74</v>
      </c>
      <c r="I16" s="56"/>
      <c r="J16" s="27"/>
    </row>
    <row r="17" spans="1:10" ht="39" customHeight="1" thickBot="1" x14ac:dyDescent="0.35">
      <c r="A17" s="168"/>
      <c r="B17" s="1">
        <v>14</v>
      </c>
      <c r="C17" s="8" t="s">
        <v>113</v>
      </c>
      <c r="D17" s="1" t="s">
        <v>11</v>
      </c>
      <c r="E17" s="55" t="s">
        <v>114</v>
      </c>
      <c r="F17" s="54">
        <v>45724</v>
      </c>
      <c r="G17" s="55" t="s">
        <v>115</v>
      </c>
      <c r="H17" s="1" t="s">
        <v>74</v>
      </c>
      <c r="I17" s="56"/>
      <c r="J17" s="27"/>
    </row>
    <row r="18" spans="1:10" ht="33" customHeight="1" thickBot="1" x14ac:dyDescent="0.35">
      <c r="A18" s="190"/>
      <c r="B18" s="182"/>
      <c r="C18" s="182"/>
      <c r="D18" s="182"/>
      <c r="E18" s="182"/>
      <c r="F18" s="182"/>
      <c r="G18" s="182"/>
      <c r="H18" s="182"/>
      <c r="I18" s="183"/>
      <c r="J18" s="27"/>
    </row>
    <row r="19" spans="1:10" ht="38.25" customHeight="1" thickBot="1" x14ac:dyDescent="0.35">
      <c r="A19" s="24" t="s">
        <v>59</v>
      </c>
      <c r="B19" s="1">
        <v>15</v>
      </c>
      <c r="C19" s="1" t="s">
        <v>49</v>
      </c>
      <c r="D19" s="1" t="s">
        <v>11</v>
      </c>
      <c r="E19" s="1" t="s">
        <v>116</v>
      </c>
      <c r="F19" s="54">
        <v>45724</v>
      </c>
      <c r="G19" s="55" t="s">
        <v>13</v>
      </c>
      <c r="H19" s="1" t="s">
        <v>74</v>
      </c>
      <c r="I19" s="56"/>
      <c r="J19" s="27"/>
    </row>
    <row r="20" spans="1:10" ht="30.75" customHeight="1" thickBot="1" x14ac:dyDescent="0.35">
      <c r="A20" s="190"/>
      <c r="B20" s="182"/>
      <c r="C20" s="182"/>
      <c r="D20" s="182"/>
      <c r="E20" s="182"/>
      <c r="F20" s="182"/>
      <c r="G20" s="182"/>
      <c r="H20" s="182"/>
      <c r="I20" s="183"/>
      <c r="J20" s="27"/>
    </row>
    <row r="21" spans="1:10" ht="33" customHeight="1" thickBot="1" x14ac:dyDescent="0.35">
      <c r="A21" s="24" t="s">
        <v>62</v>
      </c>
      <c r="B21" s="1">
        <v>16</v>
      </c>
      <c r="C21" s="1" t="s">
        <v>91</v>
      </c>
      <c r="D21" s="1" t="s">
        <v>11</v>
      </c>
      <c r="E21" s="1" t="s">
        <v>50</v>
      </c>
      <c r="F21" s="54">
        <v>45725</v>
      </c>
      <c r="G21" s="55" t="s">
        <v>117</v>
      </c>
      <c r="H21" s="1" t="s">
        <v>74</v>
      </c>
      <c r="I21" s="56"/>
      <c r="J21" s="27"/>
    </row>
    <row r="22" spans="1:10" ht="33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30.7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32.2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31.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7AC3-3C8B-4467-834A-702F310B7EEB}">
  <sheetPr codeName="Sheet25"/>
  <dimension ref="A1:I1000"/>
  <sheetViews>
    <sheetView workbookViewId="0">
      <selection activeCell="L6" sqref="L6"/>
    </sheetView>
  </sheetViews>
  <sheetFormatPr defaultColWidth="12.6640625" defaultRowHeight="14.4" x14ac:dyDescent="0.3"/>
  <cols>
    <col min="1" max="1" width="25" customWidth="1"/>
    <col min="2" max="2" width="15" customWidth="1"/>
    <col min="3" max="3" width="14.44140625" customWidth="1"/>
    <col min="4" max="5" width="14.33203125" customWidth="1"/>
    <col min="6" max="6" width="11.21875" customWidth="1"/>
    <col min="7" max="7" width="13.77734375" customWidth="1"/>
    <col min="8" max="8" width="14.21875" customWidth="1"/>
    <col min="9" max="9" width="17.88671875" customWidth="1"/>
  </cols>
  <sheetData>
    <row r="1" spans="1:9" ht="63.75" customHeight="1" thickBot="1" x14ac:dyDescent="0.35">
      <c r="A1" s="1" t="s">
        <v>31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96</v>
      </c>
      <c r="G1" s="1" t="s">
        <v>214</v>
      </c>
      <c r="H1" s="1" t="s">
        <v>215</v>
      </c>
      <c r="I1" s="1" t="s">
        <v>216</v>
      </c>
    </row>
    <row r="2" spans="1:9" ht="35.25" customHeight="1" thickBot="1" x14ac:dyDescent="0.35">
      <c r="A2" s="89" t="s">
        <v>205</v>
      </c>
      <c r="B2" s="89">
        <v>4</v>
      </c>
      <c r="C2" s="89">
        <v>6</v>
      </c>
      <c r="D2" s="89">
        <v>1</v>
      </c>
      <c r="E2" s="89">
        <v>0</v>
      </c>
      <c r="F2" s="89">
        <f>(C2*2+D2)</f>
        <v>13</v>
      </c>
      <c r="G2" s="89">
        <v>22</v>
      </c>
      <c r="H2" s="89"/>
      <c r="I2" s="89"/>
    </row>
    <row r="3" spans="1:9" ht="36.75" customHeight="1" thickBot="1" x14ac:dyDescent="0.35">
      <c r="A3" s="24" t="s">
        <v>204</v>
      </c>
      <c r="B3" s="89">
        <v>4</v>
      </c>
      <c r="C3" s="24">
        <v>5</v>
      </c>
      <c r="D3" s="24">
        <v>1</v>
      </c>
      <c r="E3" s="24">
        <v>1</v>
      </c>
      <c r="F3" s="24">
        <v>11</v>
      </c>
      <c r="G3" s="24">
        <v>18</v>
      </c>
      <c r="H3" s="24"/>
      <c r="I3" s="24"/>
    </row>
    <row r="4" spans="1:9" ht="34.5" customHeight="1" thickBot="1" x14ac:dyDescent="0.35">
      <c r="A4" s="89" t="s">
        <v>202</v>
      </c>
      <c r="B4" s="89">
        <v>4</v>
      </c>
      <c r="C4" s="89">
        <v>5</v>
      </c>
      <c r="D4" s="89">
        <v>0</v>
      </c>
      <c r="E4" s="89">
        <v>2</v>
      </c>
      <c r="F4" s="89">
        <f t="shared" ref="F4:F9" si="0">(C4*2+D4)</f>
        <v>10</v>
      </c>
      <c r="G4" s="89">
        <v>19</v>
      </c>
      <c r="H4" s="89"/>
      <c r="I4" s="89"/>
    </row>
    <row r="5" spans="1:9" ht="35.25" customHeight="1" thickBot="1" x14ac:dyDescent="0.35">
      <c r="A5" s="89" t="s">
        <v>199</v>
      </c>
      <c r="B5" s="89">
        <v>4</v>
      </c>
      <c r="C5" s="89">
        <v>3</v>
      </c>
      <c r="D5" s="89">
        <v>2</v>
      </c>
      <c r="E5" s="89">
        <v>2</v>
      </c>
      <c r="F5" s="89">
        <f t="shared" si="0"/>
        <v>8</v>
      </c>
      <c r="G5" s="89">
        <v>15.5</v>
      </c>
      <c r="H5" s="89"/>
      <c r="I5" s="89"/>
    </row>
    <row r="6" spans="1:9" ht="35.25" customHeight="1" thickBot="1" x14ac:dyDescent="0.35">
      <c r="A6" s="89" t="s">
        <v>217</v>
      </c>
      <c r="B6" s="89">
        <v>4</v>
      </c>
      <c r="C6" s="89">
        <v>3</v>
      </c>
      <c r="D6" s="89">
        <v>1</v>
      </c>
      <c r="E6" s="89">
        <v>3</v>
      </c>
      <c r="F6" s="89">
        <f t="shared" si="0"/>
        <v>7</v>
      </c>
      <c r="G6" s="89">
        <v>14.5</v>
      </c>
      <c r="H6" s="89"/>
      <c r="I6" s="89"/>
    </row>
    <row r="7" spans="1:9" ht="36" customHeight="1" thickBot="1" x14ac:dyDescent="0.35">
      <c r="A7" s="24" t="s">
        <v>198</v>
      </c>
      <c r="B7" s="89">
        <v>4</v>
      </c>
      <c r="C7" s="24">
        <v>2</v>
      </c>
      <c r="D7" s="24">
        <v>1</v>
      </c>
      <c r="E7" s="24">
        <v>4</v>
      </c>
      <c r="F7" s="24">
        <f t="shared" si="0"/>
        <v>5</v>
      </c>
      <c r="G7" s="24">
        <v>13.5</v>
      </c>
      <c r="H7" s="24"/>
      <c r="I7" s="24"/>
    </row>
    <row r="8" spans="1:9" ht="36" customHeight="1" thickBot="1" x14ac:dyDescent="0.35">
      <c r="A8" s="24" t="s">
        <v>207</v>
      </c>
      <c r="B8" s="89">
        <v>4</v>
      </c>
      <c r="C8" s="24">
        <v>1</v>
      </c>
      <c r="D8" s="24">
        <v>0</v>
      </c>
      <c r="E8" s="24">
        <v>6</v>
      </c>
      <c r="F8" s="24">
        <f t="shared" si="0"/>
        <v>2</v>
      </c>
      <c r="G8" s="24">
        <v>7.5</v>
      </c>
      <c r="H8" s="24"/>
      <c r="I8" s="24"/>
    </row>
    <row r="9" spans="1:9" ht="35.25" customHeight="1" thickBot="1" x14ac:dyDescent="0.35">
      <c r="A9" s="24" t="s">
        <v>218</v>
      </c>
      <c r="B9" s="89">
        <v>4</v>
      </c>
      <c r="C9" s="24">
        <v>0</v>
      </c>
      <c r="D9" s="24">
        <v>0</v>
      </c>
      <c r="E9" s="24">
        <v>7</v>
      </c>
      <c r="F9" s="24">
        <f t="shared" si="0"/>
        <v>0</v>
      </c>
      <c r="G9" s="24">
        <v>2</v>
      </c>
      <c r="H9" s="24"/>
      <c r="I9" s="24"/>
    </row>
    <row r="10" spans="1:9" ht="30" customHeight="1" x14ac:dyDescent="0.3">
      <c r="A10" s="196"/>
      <c r="B10" s="175"/>
      <c r="C10" s="175"/>
      <c r="D10" s="175"/>
      <c r="E10" s="175"/>
      <c r="F10" s="175"/>
      <c r="G10" s="175"/>
      <c r="H10" s="175"/>
      <c r="I10" s="175"/>
    </row>
    <row r="11" spans="1:9" ht="15.75" customHeight="1" x14ac:dyDescent="0.3"/>
    <row r="12" spans="1:9" ht="15.75" customHeight="1" x14ac:dyDescent="0.3"/>
    <row r="13" spans="1:9" ht="15.75" customHeight="1" x14ac:dyDescent="0.3"/>
    <row r="14" spans="1:9" ht="15.75" customHeight="1" x14ac:dyDescent="0.3"/>
    <row r="15" spans="1:9" ht="15.75" customHeight="1" x14ac:dyDescent="0.3"/>
    <row r="16" spans="1:9" ht="15.75" customHeight="1" x14ac:dyDescent="0.3"/>
    <row r="17" customFormat="1" ht="15.75" customHeight="1" x14ac:dyDescent="0.3"/>
    <row r="18" customFormat="1" ht="15.75" customHeight="1" x14ac:dyDescent="0.3"/>
    <row r="19" customFormat="1" ht="15.75" customHeight="1" x14ac:dyDescent="0.3"/>
    <row r="20" customFormat="1" ht="15.75" customHeight="1" x14ac:dyDescent="0.3"/>
    <row r="21" customFormat="1" ht="15.75" customHeight="1" x14ac:dyDescent="0.3"/>
    <row r="22" customFormat="1" ht="15.75" customHeight="1" x14ac:dyDescent="0.3"/>
    <row r="23" customFormat="1" ht="15.75" customHeight="1" x14ac:dyDescent="0.3"/>
    <row r="24" customFormat="1" ht="15.75" customHeight="1" x14ac:dyDescent="0.3"/>
    <row r="25" customFormat="1" ht="15.75" customHeight="1" x14ac:dyDescent="0.3"/>
    <row r="26" customFormat="1" ht="15.75" customHeight="1" x14ac:dyDescent="0.3"/>
    <row r="27" customFormat="1" ht="15.75" customHeight="1" x14ac:dyDescent="0.3"/>
    <row r="28" customFormat="1" ht="15.75" customHeight="1" x14ac:dyDescent="0.3"/>
    <row r="29" customFormat="1" ht="15.75" customHeight="1" x14ac:dyDescent="0.3"/>
    <row r="30" customFormat="1" ht="15.75" customHeight="1" x14ac:dyDescent="0.3"/>
    <row r="31" customFormat="1" ht="15.75" customHeight="1" x14ac:dyDescent="0.3"/>
    <row r="32" customFormat="1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1">
    <mergeCell ref="A10:I10"/>
  </mergeCells>
  <conditionalFormatting sqref="B2:I9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37B9-9746-4687-9A63-F85099CBD9FB}">
  <sheetPr codeName="Sheet24"/>
  <dimension ref="A1:J999"/>
  <sheetViews>
    <sheetView tabSelected="1" zoomScale="64" workbookViewId="0">
      <selection activeCell="J7" sqref="J7"/>
    </sheetView>
  </sheetViews>
  <sheetFormatPr defaultColWidth="12.6640625" defaultRowHeight="14.4" x14ac:dyDescent="0.3"/>
  <cols>
    <col min="1" max="1" width="20.6640625" customWidth="1"/>
    <col min="2" max="2" width="31.77734375" customWidth="1"/>
    <col min="3" max="3" width="39.109375" customWidth="1"/>
    <col min="4" max="4" width="21" customWidth="1"/>
    <col min="5" max="5" width="20.77734375" customWidth="1"/>
    <col min="6" max="6" width="28.33203125" customWidth="1"/>
    <col min="7" max="7" width="34.33203125" customWidth="1"/>
  </cols>
  <sheetData>
    <row r="1" spans="1:9" ht="38.4" thickBot="1" x14ac:dyDescent="0.35">
      <c r="A1" s="195" t="s">
        <v>196</v>
      </c>
      <c r="B1" s="182"/>
      <c r="C1" s="182"/>
      <c r="D1" s="182"/>
      <c r="E1" s="182"/>
      <c r="F1" s="182"/>
      <c r="G1" s="183"/>
      <c r="H1" s="104"/>
      <c r="I1" s="104"/>
    </row>
    <row r="2" spans="1:9" ht="61.8" thickBot="1" x14ac:dyDescent="0.35">
      <c r="A2" s="2" t="s">
        <v>197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7"/>
      <c r="I2" s="27"/>
    </row>
    <row r="3" spans="1:9" ht="69" customHeight="1" thickBot="1" x14ac:dyDescent="0.35">
      <c r="A3" s="6">
        <v>1</v>
      </c>
      <c r="B3" s="7" t="s">
        <v>413</v>
      </c>
      <c r="C3" s="105" t="s">
        <v>199</v>
      </c>
      <c r="D3" s="106">
        <v>45717</v>
      </c>
      <c r="E3" s="6" t="s">
        <v>200</v>
      </c>
      <c r="F3" s="6" t="s">
        <v>201</v>
      </c>
      <c r="G3" s="56"/>
      <c r="H3" s="27"/>
    </row>
    <row r="4" spans="1:9" ht="46.2" thickBot="1" x14ac:dyDescent="0.35">
      <c r="A4" s="6">
        <v>1</v>
      </c>
      <c r="B4" s="12" t="s">
        <v>202</v>
      </c>
      <c r="C4" s="12" t="s">
        <v>203</v>
      </c>
      <c r="D4" s="106">
        <v>45717</v>
      </c>
      <c r="E4" s="6" t="s">
        <v>200</v>
      </c>
      <c r="F4" s="6" t="s">
        <v>201</v>
      </c>
      <c r="G4" s="56"/>
      <c r="H4" s="27"/>
    </row>
    <row r="5" spans="1:9" ht="46.2" thickBot="1" x14ac:dyDescent="0.35">
      <c r="A5" s="6">
        <v>1</v>
      </c>
      <c r="B5" s="7" t="s">
        <v>204</v>
      </c>
      <c r="C5" s="105" t="s">
        <v>205</v>
      </c>
      <c r="D5" s="106">
        <v>45717</v>
      </c>
      <c r="E5" s="6" t="s">
        <v>200</v>
      </c>
      <c r="F5" s="6" t="s">
        <v>201</v>
      </c>
      <c r="G5" s="56"/>
      <c r="H5" s="27"/>
    </row>
    <row r="6" spans="1:9" ht="69" customHeight="1" thickBot="1" x14ac:dyDescent="0.35">
      <c r="A6" s="6">
        <v>1</v>
      </c>
      <c r="B6" s="107" t="s">
        <v>206</v>
      </c>
      <c r="C6" s="107" t="s">
        <v>207</v>
      </c>
      <c r="D6" s="106">
        <v>45717</v>
      </c>
      <c r="E6" s="6" t="s">
        <v>200</v>
      </c>
      <c r="F6" s="6" t="s">
        <v>201</v>
      </c>
      <c r="G6" s="56"/>
      <c r="H6" s="27"/>
    </row>
    <row r="7" spans="1:9" ht="46.2" thickBot="1" x14ac:dyDescent="0.35">
      <c r="A7" s="6">
        <v>2</v>
      </c>
      <c r="B7" s="7" t="s">
        <v>198</v>
      </c>
      <c r="C7" s="108" t="s">
        <v>205</v>
      </c>
      <c r="D7" s="106">
        <v>45717</v>
      </c>
      <c r="E7" s="6" t="s">
        <v>208</v>
      </c>
      <c r="F7" s="6" t="s">
        <v>201</v>
      </c>
      <c r="G7" s="56"/>
      <c r="H7" s="27"/>
    </row>
    <row r="8" spans="1:9" ht="69" customHeight="1" thickBot="1" x14ac:dyDescent="0.35">
      <c r="A8" s="6">
        <v>2</v>
      </c>
      <c r="B8" s="12" t="s">
        <v>202</v>
      </c>
      <c r="C8" s="12" t="s">
        <v>207</v>
      </c>
      <c r="D8" s="106">
        <v>45717</v>
      </c>
      <c r="E8" s="6" t="s">
        <v>208</v>
      </c>
      <c r="F8" s="6" t="s">
        <v>201</v>
      </c>
      <c r="G8" s="56"/>
      <c r="H8" s="27"/>
    </row>
    <row r="9" spans="1:9" ht="46.2" thickBot="1" x14ac:dyDescent="0.35">
      <c r="A9" s="6">
        <v>2</v>
      </c>
      <c r="B9" s="108" t="s">
        <v>204</v>
      </c>
      <c r="C9" s="108" t="s">
        <v>199</v>
      </c>
      <c r="D9" s="106">
        <v>45717</v>
      </c>
      <c r="E9" s="6" t="s">
        <v>208</v>
      </c>
      <c r="F9" s="6" t="s">
        <v>201</v>
      </c>
      <c r="G9" s="56"/>
      <c r="H9" s="27"/>
    </row>
    <row r="10" spans="1:9" ht="46.2" thickBot="1" x14ac:dyDescent="0.35">
      <c r="A10" s="6">
        <v>2</v>
      </c>
      <c r="B10" s="107" t="s">
        <v>206</v>
      </c>
      <c r="C10" s="12" t="s">
        <v>203</v>
      </c>
      <c r="D10" s="106">
        <v>45717</v>
      </c>
      <c r="E10" s="6" t="s">
        <v>208</v>
      </c>
      <c r="F10" s="6" t="s">
        <v>201</v>
      </c>
      <c r="G10" s="56"/>
      <c r="H10" s="27"/>
    </row>
    <row r="11" spans="1:9" ht="46.2" thickBot="1" x14ac:dyDescent="0.35">
      <c r="A11" s="6">
        <v>3</v>
      </c>
      <c r="B11" s="7" t="s">
        <v>198</v>
      </c>
      <c r="C11" s="108" t="s">
        <v>202</v>
      </c>
      <c r="D11" s="106">
        <v>45718</v>
      </c>
      <c r="E11" s="6" t="s">
        <v>200</v>
      </c>
      <c r="F11" s="6" t="s">
        <v>201</v>
      </c>
      <c r="G11" s="56"/>
      <c r="H11" s="27"/>
    </row>
    <row r="12" spans="1:9" ht="46.2" thickBot="1" x14ac:dyDescent="0.35">
      <c r="A12" s="6">
        <v>3</v>
      </c>
      <c r="B12" s="12" t="s">
        <v>204</v>
      </c>
      <c r="C12" s="107" t="s">
        <v>206</v>
      </c>
      <c r="D12" s="106">
        <v>45718</v>
      </c>
      <c r="E12" s="6" t="s">
        <v>200</v>
      </c>
      <c r="F12" s="6" t="s">
        <v>201</v>
      </c>
      <c r="G12" s="56"/>
      <c r="H12" s="27"/>
    </row>
    <row r="13" spans="1:9" ht="46.2" thickBot="1" x14ac:dyDescent="0.35">
      <c r="A13" s="6">
        <v>3</v>
      </c>
      <c r="B13" s="7" t="s">
        <v>203</v>
      </c>
      <c r="C13" s="108" t="s">
        <v>199</v>
      </c>
      <c r="D13" s="106">
        <v>45718</v>
      </c>
      <c r="E13" s="6" t="s">
        <v>200</v>
      </c>
      <c r="F13" s="6" t="s">
        <v>201</v>
      </c>
      <c r="G13" s="56"/>
      <c r="H13" s="27"/>
    </row>
    <row r="14" spans="1:9" ht="46.2" thickBot="1" x14ac:dyDescent="0.35">
      <c r="A14" s="6">
        <v>3</v>
      </c>
      <c r="B14" s="12" t="s">
        <v>207</v>
      </c>
      <c r="C14" s="12" t="s">
        <v>205</v>
      </c>
      <c r="D14" s="106">
        <v>45718</v>
      </c>
      <c r="E14" s="6" t="s">
        <v>200</v>
      </c>
      <c r="F14" s="6" t="s">
        <v>201</v>
      </c>
      <c r="G14" s="56"/>
      <c r="H14" s="27"/>
    </row>
    <row r="15" spans="1:9" ht="69" customHeight="1" thickBot="1" x14ac:dyDescent="0.35">
      <c r="A15" s="6">
        <v>4</v>
      </c>
      <c r="B15" s="108" t="s">
        <v>198</v>
      </c>
      <c r="C15" s="7" t="s">
        <v>207</v>
      </c>
      <c r="D15" s="106">
        <v>45718</v>
      </c>
      <c r="E15" s="6" t="s">
        <v>208</v>
      </c>
      <c r="F15" s="6" t="s">
        <v>201</v>
      </c>
      <c r="G15" s="56"/>
      <c r="H15" s="27"/>
    </row>
    <row r="16" spans="1:9" ht="46.2" thickBot="1" x14ac:dyDescent="0.35">
      <c r="A16" s="6">
        <v>4</v>
      </c>
      <c r="B16" s="12" t="s">
        <v>202</v>
      </c>
      <c r="C16" s="12" t="s">
        <v>205</v>
      </c>
      <c r="D16" s="106">
        <v>45718</v>
      </c>
      <c r="E16" s="6" t="s">
        <v>208</v>
      </c>
      <c r="F16" s="6" t="s">
        <v>201</v>
      </c>
      <c r="G16" s="56"/>
      <c r="H16" s="27"/>
    </row>
    <row r="17" spans="1:10" ht="46.2" thickBot="1" x14ac:dyDescent="0.35">
      <c r="A17" s="6">
        <v>4</v>
      </c>
      <c r="B17" s="7" t="s">
        <v>204</v>
      </c>
      <c r="C17" s="108" t="s">
        <v>203</v>
      </c>
      <c r="D17" s="106">
        <v>45718</v>
      </c>
      <c r="E17" s="6" t="s">
        <v>208</v>
      </c>
      <c r="F17" s="6" t="s">
        <v>201</v>
      </c>
      <c r="G17" s="56"/>
      <c r="H17" s="27"/>
    </row>
    <row r="18" spans="1:10" ht="46.2" thickBot="1" x14ac:dyDescent="0.35">
      <c r="A18" s="6">
        <v>4</v>
      </c>
      <c r="B18" s="107" t="s">
        <v>206</v>
      </c>
      <c r="C18" s="12" t="s">
        <v>199</v>
      </c>
      <c r="D18" s="106">
        <v>45718</v>
      </c>
      <c r="E18" s="6" t="s">
        <v>208</v>
      </c>
      <c r="F18" s="6" t="s">
        <v>201</v>
      </c>
      <c r="G18" s="56"/>
      <c r="H18" s="27"/>
    </row>
    <row r="19" spans="1:10" ht="69" customHeight="1" thickBot="1" x14ac:dyDescent="0.35">
      <c r="A19" s="6">
        <v>5</v>
      </c>
      <c r="B19" s="108" t="s">
        <v>198</v>
      </c>
      <c r="C19" s="108" t="s">
        <v>204</v>
      </c>
      <c r="D19" s="106">
        <v>45724</v>
      </c>
      <c r="E19" s="6" t="s">
        <v>200</v>
      </c>
      <c r="F19" s="6" t="s">
        <v>201</v>
      </c>
      <c r="G19" s="56"/>
      <c r="H19" s="27"/>
    </row>
    <row r="20" spans="1:10" ht="46.2" thickBot="1" x14ac:dyDescent="0.35">
      <c r="A20" s="6">
        <v>5</v>
      </c>
      <c r="B20" s="12" t="s">
        <v>202</v>
      </c>
      <c r="C20" s="107" t="s">
        <v>206</v>
      </c>
      <c r="D20" s="106">
        <v>45724</v>
      </c>
      <c r="E20" s="6" t="s">
        <v>200</v>
      </c>
      <c r="F20" s="6" t="s">
        <v>201</v>
      </c>
      <c r="G20" s="56"/>
      <c r="H20" s="27"/>
    </row>
    <row r="21" spans="1:10" ht="69" customHeight="1" thickBot="1" x14ac:dyDescent="0.35">
      <c r="A21" s="6">
        <v>5</v>
      </c>
      <c r="B21" s="108" t="s">
        <v>203</v>
      </c>
      <c r="C21" s="7" t="s">
        <v>207</v>
      </c>
      <c r="D21" s="106">
        <v>45724</v>
      </c>
      <c r="E21" s="6" t="s">
        <v>200</v>
      </c>
      <c r="F21" s="6" t="s">
        <v>201</v>
      </c>
      <c r="G21" s="56"/>
      <c r="H21" s="27"/>
    </row>
    <row r="22" spans="1:10" ht="46.2" thickBot="1" x14ac:dyDescent="0.35">
      <c r="A22" s="6">
        <v>5</v>
      </c>
      <c r="B22" s="12" t="s">
        <v>199</v>
      </c>
      <c r="C22" s="12" t="s">
        <v>205</v>
      </c>
      <c r="D22" s="106">
        <v>45724</v>
      </c>
      <c r="E22" s="6" t="s">
        <v>200</v>
      </c>
      <c r="F22" s="6" t="s">
        <v>201</v>
      </c>
      <c r="G22" s="56"/>
      <c r="H22" s="27"/>
    </row>
    <row r="23" spans="1:10" ht="69" customHeight="1" thickBot="1" x14ac:dyDescent="0.35">
      <c r="A23" s="6">
        <v>6</v>
      </c>
      <c r="B23" s="7" t="s">
        <v>198</v>
      </c>
      <c r="C23" s="105" t="s">
        <v>206</v>
      </c>
      <c r="D23" s="106">
        <v>45724</v>
      </c>
      <c r="E23" s="6" t="s">
        <v>208</v>
      </c>
      <c r="F23" s="6" t="s">
        <v>201</v>
      </c>
      <c r="G23" s="56"/>
      <c r="H23" s="27"/>
      <c r="J23" s="85"/>
    </row>
    <row r="24" spans="1:10" ht="46.2" thickBot="1" x14ac:dyDescent="0.35">
      <c r="A24" s="6">
        <v>6</v>
      </c>
      <c r="B24" s="12" t="s">
        <v>202</v>
      </c>
      <c r="C24" s="12" t="s">
        <v>204</v>
      </c>
      <c r="D24" s="106">
        <v>45724</v>
      </c>
      <c r="E24" s="6" t="s">
        <v>208</v>
      </c>
      <c r="F24" s="6" t="s">
        <v>201</v>
      </c>
      <c r="G24" s="56"/>
      <c r="H24" s="27"/>
    </row>
    <row r="25" spans="1:10" ht="46.2" thickBot="1" x14ac:dyDescent="0.35">
      <c r="A25" s="6">
        <v>6</v>
      </c>
      <c r="B25" s="7" t="s">
        <v>203</v>
      </c>
      <c r="C25" s="108" t="s">
        <v>205</v>
      </c>
      <c r="D25" s="106">
        <v>45724</v>
      </c>
      <c r="E25" s="6" t="s">
        <v>208</v>
      </c>
      <c r="F25" s="6" t="s">
        <v>201</v>
      </c>
      <c r="G25" s="56"/>
      <c r="H25" s="27"/>
    </row>
    <row r="26" spans="1:10" ht="69" customHeight="1" thickBot="1" x14ac:dyDescent="0.35">
      <c r="A26" s="6">
        <v>6</v>
      </c>
      <c r="B26" s="12" t="s">
        <v>199</v>
      </c>
      <c r="C26" s="12" t="s">
        <v>207</v>
      </c>
      <c r="D26" s="106">
        <v>45724</v>
      </c>
      <c r="E26" s="6" t="s">
        <v>208</v>
      </c>
      <c r="F26" s="6" t="s">
        <v>201</v>
      </c>
      <c r="G26" s="56"/>
      <c r="H26" s="27"/>
    </row>
    <row r="27" spans="1:10" ht="69" customHeight="1" thickBot="1" x14ac:dyDescent="0.35">
      <c r="A27" s="6">
        <v>7</v>
      </c>
      <c r="B27" s="108" t="s">
        <v>198</v>
      </c>
      <c r="C27" s="7" t="s">
        <v>203</v>
      </c>
      <c r="D27" s="106">
        <v>45725</v>
      </c>
      <c r="E27" s="6" t="s">
        <v>200</v>
      </c>
      <c r="F27" s="6" t="s">
        <v>201</v>
      </c>
      <c r="G27" s="56"/>
      <c r="H27" s="27"/>
    </row>
    <row r="28" spans="1:10" ht="46.2" thickBot="1" x14ac:dyDescent="0.35">
      <c r="A28" s="6">
        <v>7</v>
      </c>
      <c r="B28" s="107" t="s">
        <v>199</v>
      </c>
      <c r="C28" s="12" t="s">
        <v>202</v>
      </c>
      <c r="D28" s="106">
        <v>45725</v>
      </c>
      <c r="E28" s="6" t="s">
        <v>200</v>
      </c>
      <c r="F28" s="6" t="s">
        <v>201</v>
      </c>
      <c r="G28" s="56"/>
      <c r="H28" s="27"/>
    </row>
    <row r="29" spans="1:10" ht="46.2" thickBot="1" x14ac:dyDescent="0.35">
      <c r="A29" s="6">
        <v>7</v>
      </c>
      <c r="B29" s="105" t="s">
        <v>207</v>
      </c>
      <c r="C29" s="108" t="s">
        <v>204</v>
      </c>
      <c r="D29" s="106">
        <v>45725</v>
      </c>
      <c r="E29" s="6" t="s">
        <v>200</v>
      </c>
      <c r="F29" s="6" t="s">
        <v>201</v>
      </c>
      <c r="G29" s="56"/>
      <c r="H29" s="27"/>
    </row>
    <row r="30" spans="1:10" ht="46.2" thickBot="1" x14ac:dyDescent="0.35">
      <c r="A30" s="6">
        <v>7</v>
      </c>
      <c r="B30" s="107" t="s">
        <v>205</v>
      </c>
      <c r="C30" s="107" t="s">
        <v>206</v>
      </c>
      <c r="D30" s="106">
        <v>45725</v>
      </c>
      <c r="E30" s="6" t="s">
        <v>200</v>
      </c>
      <c r="F30" s="6" t="s">
        <v>201</v>
      </c>
      <c r="G30" s="109"/>
      <c r="H30" s="27"/>
    </row>
    <row r="31" spans="1:10" ht="23.4" thickBot="1" x14ac:dyDescent="0.35">
      <c r="A31" s="199"/>
      <c r="B31" s="182"/>
      <c r="C31" s="182"/>
      <c r="D31" s="182"/>
      <c r="E31" s="182"/>
      <c r="F31" s="182"/>
      <c r="G31" s="183"/>
      <c r="H31" s="27"/>
      <c r="I31" s="27"/>
    </row>
    <row r="32" spans="1:10" ht="23.4" thickBot="1" x14ac:dyDescent="0.35">
      <c r="A32" s="197" t="s">
        <v>209</v>
      </c>
      <c r="B32" s="175"/>
      <c r="C32" s="176"/>
      <c r="D32" s="169"/>
      <c r="E32" s="198"/>
      <c r="F32" s="166" t="s">
        <v>201</v>
      </c>
      <c r="G32" s="111"/>
      <c r="H32" s="27"/>
      <c r="I32" s="27"/>
    </row>
    <row r="33" spans="1:9" ht="23.4" thickBot="1" x14ac:dyDescent="0.35">
      <c r="A33" s="174"/>
      <c r="B33" s="175"/>
      <c r="C33" s="176"/>
      <c r="D33" s="167"/>
      <c r="E33" s="167"/>
      <c r="F33" s="167"/>
      <c r="G33" s="1"/>
      <c r="H33" s="27"/>
      <c r="I33" s="27"/>
    </row>
    <row r="34" spans="1:9" ht="23.4" thickBot="1" x14ac:dyDescent="0.35">
      <c r="A34" s="174"/>
      <c r="B34" s="175"/>
      <c r="C34" s="176"/>
      <c r="D34" s="167"/>
      <c r="E34" s="167"/>
      <c r="F34" s="167"/>
      <c r="G34" s="1"/>
      <c r="H34" s="27"/>
      <c r="I34" s="27"/>
    </row>
    <row r="35" spans="1:9" ht="33" customHeight="1" thickBot="1" x14ac:dyDescent="0.35">
      <c r="A35" s="177"/>
      <c r="B35" s="178"/>
      <c r="C35" s="179"/>
      <c r="D35" s="168"/>
      <c r="E35" s="168"/>
      <c r="F35" s="168"/>
      <c r="G35" s="1"/>
      <c r="H35" s="27"/>
      <c r="I35" s="27"/>
    </row>
    <row r="36" spans="1:9" ht="15.75" customHeight="1" x14ac:dyDescent="0.3"/>
    <row r="37" spans="1:9" ht="15.75" customHeight="1" x14ac:dyDescent="0.3"/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</sheetData>
  <mergeCells count="6">
    <mergeCell ref="A1:G1"/>
    <mergeCell ref="A32:C35"/>
    <mergeCell ref="D32:D35"/>
    <mergeCell ref="E32:E35"/>
    <mergeCell ref="F32:F35"/>
    <mergeCell ref="A31:G31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5117-DFF5-4004-A502-F385AC8E91D9}">
  <sheetPr codeName="Sheet23"/>
  <dimension ref="A1:H9"/>
  <sheetViews>
    <sheetView workbookViewId="0">
      <selection activeCell="K9" sqref="K9"/>
    </sheetView>
  </sheetViews>
  <sheetFormatPr defaultRowHeight="14.4" x14ac:dyDescent="0.3"/>
  <cols>
    <col min="2" max="2" width="31.6640625" customWidth="1"/>
    <col min="3" max="3" width="17.5546875" customWidth="1"/>
    <col min="4" max="4" width="14" customWidth="1"/>
    <col min="5" max="5" width="11.6640625" customWidth="1"/>
    <col min="6" max="6" width="15.109375" customWidth="1"/>
    <col min="7" max="7" width="14.21875" customWidth="1"/>
    <col min="8" max="8" width="18.77734375" customWidth="1"/>
  </cols>
  <sheetData>
    <row r="1" spans="1:8" ht="23.4" thickBot="1" x14ac:dyDescent="0.35">
      <c r="A1" s="103" t="s">
        <v>68</v>
      </c>
      <c r="B1" s="1" t="s">
        <v>31</v>
      </c>
      <c r="C1" s="1" t="s">
        <v>93</v>
      </c>
      <c r="D1" s="1" t="s">
        <v>94</v>
      </c>
      <c r="E1" s="1" t="s">
        <v>155</v>
      </c>
      <c r="F1" s="1" t="s">
        <v>95</v>
      </c>
      <c r="G1" s="1" t="s">
        <v>35</v>
      </c>
      <c r="H1" s="16" t="s">
        <v>195</v>
      </c>
    </row>
    <row r="2" spans="1:8" ht="23.4" thickBot="1" x14ac:dyDescent="0.35">
      <c r="A2" t="s">
        <v>69</v>
      </c>
      <c r="B2" s="21" t="s">
        <v>57</v>
      </c>
      <c r="C2" s="98">
        <v>3</v>
      </c>
      <c r="D2" s="98">
        <v>3</v>
      </c>
      <c r="E2" s="89">
        <v>0</v>
      </c>
      <c r="F2" s="98">
        <v>0</v>
      </c>
      <c r="G2" s="98">
        <v>6</v>
      </c>
      <c r="H2" s="99">
        <v>2.1379999999999999</v>
      </c>
    </row>
    <row r="3" spans="1:8" ht="23.4" thickBot="1" x14ac:dyDescent="0.35">
      <c r="A3" t="s">
        <v>69</v>
      </c>
      <c r="B3" s="17" t="s">
        <v>17</v>
      </c>
      <c r="C3" s="89">
        <v>3</v>
      </c>
      <c r="D3" s="89">
        <v>1</v>
      </c>
      <c r="E3" s="89">
        <v>0</v>
      </c>
      <c r="F3" s="89">
        <v>2</v>
      </c>
      <c r="G3" s="89">
        <v>2</v>
      </c>
      <c r="H3" s="99">
        <v>-0.32400000000000001</v>
      </c>
    </row>
    <row r="4" spans="1:8" ht="23.4" thickBot="1" x14ac:dyDescent="0.35">
      <c r="A4" t="s">
        <v>69</v>
      </c>
      <c r="B4" s="17" t="s">
        <v>52</v>
      </c>
      <c r="C4" s="25">
        <v>3</v>
      </c>
      <c r="D4" s="24">
        <v>1</v>
      </c>
      <c r="E4" s="24">
        <v>0</v>
      </c>
      <c r="F4" s="25">
        <v>2</v>
      </c>
      <c r="G4" s="24">
        <v>2</v>
      </c>
      <c r="H4" s="26">
        <v>-0.52200000000000002</v>
      </c>
    </row>
    <row r="5" spans="1:8" ht="23.4" thickBot="1" x14ac:dyDescent="0.35">
      <c r="A5" t="s">
        <v>69</v>
      </c>
      <c r="B5" s="17" t="s">
        <v>22</v>
      </c>
      <c r="C5" s="24">
        <v>3</v>
      </c>
      <c r="D5" s="24">
        <v>1</v>
      </c>
      <c r="E5" s="24">
        <v>0</v>
      </c>
      <c r="F5" s="24">
        <v>2</v>
      </c>
      <c r="G5" s="24">
        <v>2</v>
      </c>
      <c r="H5" s="26">
        <v>-1.333</v>
      </c>
    </row>
    <row r="6" spans="1:8" ht="23.4" thickBot="1" x14ac:dyDescent="0.35">
      <c r="A6" t="s">
        <v>70</v>
      </c>
      <c r="B6" s="17" t="s">
        <v>72</v>
      </c>
      <c r="C6" s="98">
        <v>3</v>
      </c>
      <c r="D6" s="98">
        <v>3</v>
      </c>
      <c r="E6" s="89">
        <v>0</v>
      </c>
      <c r="F6" s="98">
        <v>0</v>
      </c>
      <c r="G6" s="98">
        <v>6</v>
      </c>
      <c r="H6" s="98">
        <v>2.0110000000000001</v>
      </c>
    </row>
    <row r="7" spans="1:8" ht="23.4" thickBot="1" x14ac:dyDescent="0.35">
      <c r="A7" t="s">
        <v>70</v>
      </c>
      <c r="B7" s="22" t="s">
        <v>49</v>
      </c>
      <c r="C7" s="98">
        <v>2</v>
      </c>
      <c r="D7" s="98">
        <v>1</v>
      </c>
      <c r="E7" s="89">
        <v>0</v>
      </c>
      <c r="F7" s="98">
        <v>1</v>
      </c>
      <c r="G7" s="98">
        <v>2</v>
      </c>
      <c r="H7" s="98">
        <v>0.34100000000000003</v>
      </c>
    </row>
    <row r="8" spans="1:8" ht="23.4" thickBot="1" x14ac:dyDescent="0.35">
      <c r="A8" t="s">
        <v>70</v>
      </c>
      <c r="B8" s="17" t="s">
        <v>78</v>
      </c>
      <c r="C8" s="25">
        <v>3</v>
      </c>
      <c r="D8" s="25">
        <v>1</v>
      </c>
      <c r="E8" s="24">
        <v>0</v>
      </c>
      <c r="F8" s="24">
        <v>2</v>
      </c>
      <c r="G8" s="25">
        <v>2</v>
      </c>
      <c r="H8" s="25">
        <v>-1.5149999999999999</v>
      </c>
    </row>
    <row r="9" spans="1:8" ht="23.4" thickBot="1" x14ac:dyDescent="0.35">
      <c r="A9" t="s">
        <v>70</v>
      </c>
      <c r="B9" s="21" t="s">
        <v>56</v>
      </c>
      <c r="C9" s="25">
        <v>2</v>
      </c>
      <c r="D9" s="25">
        <v>0</v>
      </c>
      <c r="E9" s="24">
        <v>0</v>
      </c>
      <c r="F9" s="24">
        <v>2</v>
      </c>
      <c r="G9" s="25">
        <v>0</v>
      </c>
      <c r="H9" s="25">
        <v>-1.0109999999999999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68E2-1658-451B-A725-57E393054189}">
  <sheetPr codeName="Sheet22"/>
  <dimension ref="A1:N1000"/>
  <sheetViews>
    <sheetView workbookViewId="0">
      <selection activeCell="H44" sqref="H44"/>
    </sheetView>
  </sheetViews>
  <sheetFormatPr defaultColWidth="12.6640625" defaultRowHeight="14.4" x14ac:dyDescent="0.3"/>
  <cols>
    <col min="1" max="1" width="11.21875" customWidth="1"/>
    <col min="2" max="2" width="15.33203125" customWidth="1"/>
    <col min="3" max="3" width="27.109375" customWidth="1"/>
    <col min="4" max="4" width="4.77734375" customWidth="1"/>
    <col min="5" max="5" width="25.6640625" customWidth="1"/>
    <col min="6" max="6" width="31.5546875" customWidth="1"/>
    <col min="7" max="7" width="20.77734375" customWidth="1"/>
    <col min="8" max="8" width="28.33203125" customWidth="1"/>
    <col min="9" max="9" width="34.33203125" customWidth="1"/>
  </cols>
  <sheetData>
    <row r="1" spans="1:14" ht="15" thickBot="1" x14ac:dyDescent="0.35">
      <c r="A1" s="191" t="s">
        <v>167</v>
      </c>
      <c r="B1" s="182"/>
      <c r="C1" s="182"/>
      <c r="D1" s="182"/>
      <c r="E1" s="182"/>
      <c r="F1" s="182"/>
      <c r="G1" s="182"/>
      <c r="H1" s="182"/>
      <c r="I1" s="183"/>
      <c r="J1" s="200"/>
    </row>
    <row r="2" spans="1:14" ht="61.8" thickBot="1" x14ac:dyDescent="0.35">
      <c r="A2" s="1"/>
      <c r="B2" s="2" t="s">
        <v>1</v>
      </c>
      <c r="C2" s="3" t="s">
        <v>2</v>
      </c>
      <c r="D2" s="4" t="s">
        <v>3</v>
      </c>
      <c r="E2" s="5" t="s">
        <v>4</v>
      </c>
      <c r="F2" s="2" t="s">
        <v>5</v>
      </c>
      <c r="G2" s="2" t="s">
        <v>6</v>
      </c>
      <c r="H2" s="2" t="s">
        <v>7</v>
      </c>
      <c r="I2" s="2" t="s">
        <v>168</v>
      </c>
      <c r="J2" s="175"/>
    </row>
    <row r="3" spans="1:14" ht="51" thickBot="1" x14ac:dyDescent="0.35">
      <c r="A3" s="166" t="s">
        <v>9</v>
      </c>
      <c r="B3" s="7">
        <v>1</v>
      </c>
      <c r="C3" s="8" t="s">
        <v>49</v>
      </c>
      <c r="D3" s="9" t="s">
        <v>11</v>
      </c>
      <c r="E3" s="7" t="s">
        <v>78</v>
      </c>
      <c r="F3" s="10">
        <v>45716</v>
      </c>
      <c r="G3" s="7" t="s">
        <v>169</v>
      </c>
      <c r="H3" s="7" t="s">
        <v>170</v>
      </c>
      <c r="I3" s="11" t="s">
        <v>171</v>
      </c>
      <c r="J3" s="175"/>
      <c r="L3" s="55"/>
      <c r="M3" s="55"/>
      <c r="N3" s="55"/>
    </row>
    <row r="4" spans="1:14" ht="25.8" thickBot="1" x14ac:dyDescent="0.35">
      <c r="A4" s="167"/>
      <c r="B4" s="7">
        <v>2</v>
      </c>
      <c r="C4" s="8" t="s">
        <v>78</v>
      </c>
      <c r="D4" s="7" t="s">
        <v>11</v>
      </c>
      <c r="E4" s="7" t="s">
        <v>144</v>
      </c>
      <c r="F4" s="10">
        <v>45717</v>
      </c>
      <c r="G4" s="7" t="s">
        <v>172</v>
      </c>
      <c r="H4" s="7" t="s">
        <v>170</v>
      </c>
      <c r="I4" s="11" t="s">
        <v>173</v>
      </c>
      <c r="J4" s="175"/>
    </row>
    <row r="5" spans="1:14" ht="25.8" thickBot="1" x14ac:dyDescent="0.35">
      <c r="A5" s="167"/>
      <c r="B5" s="7">
        <v>3</v>
      </c>
      <c r="C5" s="7" t="s">
        <v>49</v>
      </c>
      <c r="D5" s="7" t="s">
        <v>11</v>
      </c>
      <c r="E5" s="8" t="s">
        <v>16</v>
      </c>
      <c r="F5" s="10">
        <v>45717</v>
      </c>
      <c r="G5" s="7" t="s">
        <v>174</v>
      </c>
      <c r="H5" s="7" t="s">
        <v>170</v>
      </c>
      <c r="I5" s="11" t="s">
        <v>175</v>
      </c>
      <c r="J5" s="175"/>
    </row>
    <row r="6" spans="1:14" ht="51" thickBot="1" x14ac:dyDescent="0.35">
      <c r="A6" s="167"/>
      <c r="B6" s="12">
        <v>4</v>
      </c>
      <c r="C6" s="12" t="s">
        <v>22</v>
      </c>
      <c r="D6" s="12" t="s">
        <v>11</v>
      </c>
      <c r="E6" s="8" t="s">
        <v>176</v>
      </c>
      <c r="F6" s="13">
        <v>45717</v>
      </c>
      <c r="G6" s="12" t="s">
        <v>177</v>
      </c>
      <c r="H6" s="12" t="s">
        <v>170</v>
      </c>
      <c r="I6" s="14" t="s">
        <v>178</v>
      </c>
      <c r="J6" s="175"/>
    </row>
    <row r="7" spans="1:14" ht="51" thickBot="1" x14ac:dyDescent="0.35">
      <c r="A7" s="167"/>
      <c r="B7" s="12">
        <v>5</v>
      </c>
      <c r="C7" s="12" t="s">
        <v>116</v>
      </c>
      <c r="D7" s="12" t="s">
        <v>11</v>
      </c>
      <c r="E7" s="8" t="s">
        <v>176</v>
      </c>
      <c r="F7" s="13">
        <v>45718</v>
      </c>
      <c r="G7" s="12" t="s">
        <v>172</v>
      </c>
      <c r="H7" s="12" t="s">
        <v>170</v>
      </c>
      <c r="I7" s="14" t="s">
        <v>179</v>
      </c>
      <c r="J7" s="175"/>
    </row>
    <row r="8" spans="1:14" ht="51" thickBot="1" x14ac:dyDescent="0.35">
      <c r="A8" s="167"/>
      <c r="B8" s="7">
        <v>6</v>
      </c>
      <c r="C8" s="8" t="s">
        <v>16</v>
      </c>
      <c r="D8" s="7" t="s">
        <v>11</v>
      </c>
      <c r="E8" s="7" t="s">
        <v>144</v>
      </c>
      <c r="F8" s="10">
        <v>45718</v>
      </c>
      <c r="G8" s="7" t="s">
        <v>174</v>
      </c>
      <c r="H8" s="7" t="s">
        <v>170</v>
      </c>
      <c r="I8" s="11" t="s">
        <v>180</v>
      </c>
      <c r="J8" s="175"/>
    </row>
    <row r="9" spans="1:14" ht="51" thickBot="1" x14ac:dyDescent="0.35">
      <c r="A9" s="167"/>
      <c r="B9" s="12">
        <v>7</v>
      </c>
      <c r="C9" s="8" t="s">
        <v>17</v>
      </c>
      <c r="D9" s="12" t="s">
        <v>11</v>
      </c>
      <c r="E9" s="12" t="s">
        <v>22</v>
      </c>
      <c r="F9" s="13">
        <v>45718</v>
      </c>
      <c r="G9" s="12" t="s">
        <v>177</v>
      </c>
      <c r="H9" s="12" t="s">
        <v>170</v>
      </c>
      <c r="I9" s="14" t="s">
        <v>181</v>
      </c>
      <c r="J9" s="175"/>
      <c r="L9" s="85" t="s">
        <v>123</v>
      </c>
      <c r="M9" s="85" t="s">
        <v>44</v>
      </c>
    </row>
    <row r="10" spans="1:14" ht="51" thickBot="1" x14ac:dyDescent="0.35">
      <c r="A10" s="167"/>
      <c r="B10" s="12">
        <v>8</v>
      </c>
      <c r="C10" s="8" t="s">
        <v>116</v>
      </c>
      <c r="D10" s="12" t="s">
        <v>11</v>
      </c>
      <c r="E10" s="12" t="s">
        <v>17</v>
      </c>
      <c r="F10" s="13">
        <v>45719</v>
      </c>
      <c r="G10" s="12" t="s">
        <v>182</v>
      </c>
      <c r="H10" s="12" t="s">
        <v>170</v>
      </c>
      <c r="I10" s="14" t="s">
        <v>183</v>
      </c>
      <c r="J10" s="175"/>
      <c r="L10" s="85" t="s">
        <v>125</v>
      </c>
      <c r="M10" s="85" t="s">
        <v>41</v>
      </c>
    </row>
    <row r="11" spans="1:14" ht="51" thickBot="1" x14ac:dyDescent="0.35">
      <c r="A11" s="167"/>
      <c r="B11" s="7">
        <v>9</v>
      </c>
      <c r="C11" s="7" t="s">
        <v>78</v>
      </c>
      <c r="D11" s="7" t="s">
        <v>11</v>
      </c>
      <c r="E11" s="8" t="s">
        <v>16</v>
      </c>
      <c r="F11" s="10">
        <v>45720</v>
      </c>
      <c r="G11" s="7" t="s">
        <v>182</v>
      </c>
      <c r="H11" s="7" t="s">
        <v>170</v>
      </c>
      <c r="I11" s="11" t="s">
        <v>184</v>
      </c>
      <c r="J11" s="175"/>
    </row>
    <row r="12" spans="1:14" ht="25.8" thickBot="1" x14ac:dyDescent="0.35">
      <c r="A12" s="167"/>
      <c r="B12" s="12">
        <v>10</v>
      </c>
      <c r="C12" s="12" t="s">
        <v>116</v>
      </c>
      <c r="D12" s="12" t="s">
        <v>11</v>
      </c>
      <c r="E12" s="8" t="s">
        <v>22</v>
      </c>
      <c r="F12" s="13">
        <v>45721</v>
      </c>
      <c r="G12" s="12" t="s">
        <v>182</v>
      </c>
      <c r="H12" s="12" t="s">
        <v>170</v>
      </c>
      <c r="I12" s="14"/>
      <c r="J12" s="175"/>
    </row>
    <row r="13" spans="1:14" ht="25.8" thickBot="1" x14ac:dyDescent="0.35">
      <c r="A13" s="167"/>
      <c r="B13" s="7">
        <v>11</v>
      </c>
      <c r="C13" s="7" t="s">
        <v>144</v>
      </c>
      <c r="D13" s="7" t="s">
        <v>11</v>
      </c>
      <c r="E13" s="7" t="s">
        <v>49</v>
      </c>
      <c r="F13" s="10">
        <v>45721</v>
      </c>
      <c r="G13" s="7" t="s">
        <v>177</v>
      </c>
      <c r="H13" s="7" t="s">
        <v>170</v>
      </c>
      <c r="I13" s="11"/>
      <c r="J13" s="175"/>
    </row>
    <row r="14" spans="1:14" ht="25.8" thickBot="1" x14ac:dyDescent="0.35">
      <c r="A14" s="168"/>
      <c r="B14" s="12">
        <v>12</v>
      </c>
      <c r="C14" s="12" t="s">
        <v>17</v>
      </c>
      <c r="D14" s="12" t="s">
        <v>11</v>
      </c>
      <c r="E14" s="8" t="s">
        <v>176</v>
      </c>
      <c r="F14" s="13">
        <v>45722</v>
      </c>
      <c r="G14" s="12" t="s">
        <v>182</v>
      </c>
      <c r="H14" s="12" t="s">
        <v>170</v>
      </c>
      <c r="I14" s="14"/>
      <c r="J14" s="175"/>
    </row>
    <row r="15" spans="1:14" ht="23.4" thickBot="1" x14ac:dyDescent="0.35">
      <c r="A15" s="201"/>
      <c r="B15" s="182"/>
      <c r="C15" s="182"/>
      <c r="D15" s="182"/>
      <c r="E15" s="182"/>
      <c r="F15" s="182"/>
      <c r="G15" s="182"/>
      <c r="H15" s="182"/>
      <c r="I15" s="183"/>
      <c r="J15" s="175"/>
    </row>
    <row r="16" spans="1:14" ht="46.2" thickBot="1" x14ac:dyDescent="0.35">
      <c r="A16" s="166" t="s">
        <v>55</v>
      </c>
      <c r="B16" s="1" t="s">
        <v>185</v>
      </c>
      <c r="C16" s="55" t="s">
        <v>186</v>
      </c>
      <c r="D16" s="1" t="s">
        <v>11</v>
      </c>
      <c r="E16" s="1" t="s">
        <v>187</v>
      </c>
      <c r="F16" s="43">
        <v>45722</v>
      </c>
      <c r="G16" s="55" t="s">
        <v>182</v>
      </c>
      <c r="H16" s="1" t="s">
        <v>170</v>
      </c>
      <c r="I16" s="56"/>
      <c r="J16" s="175"/>
    </row>
    <row r="17" spans="1:10" ht="69" thickBot="1" x14ac:dyDescent="0.35">
      <c r="A17" s="168"/>
      <c r="B17" s="1" t="s">
        <v>188</v>
      </c>
      <c r="C17" s="1" t="s">
        <v>189</v>
      </c>
      <c r="D17" s="1" t="s">
        <v>11</v>
      </c>
      <c r="E17" s="55" t="s">
        <v>190</v>
      </c>
      <c r="F17" s="43">
        <v>45723</v>
      </c>
      <c r="G17" s="55" t="s">
        <v>182</v>
      </c>
      <c r="H17" s="1" t="s">
        <v>170</v>
      </c>
      <c r="I17" s="56"/>
      <c r="J17" s="175"/>
    </row>
    <row r="18" spans="1:10" ht="23.4" thickBot="1" x14ac:dyDescent="0.35">
      <c r="A18" s="201"/>
      <c r="B18" s="182"/>
      <c r="C18" s="182"/>
      <c r="D18" s="182"/>
      <c r="E18" s="182"/>
      <c r="F18" s="182"/>
      <c r="G18" s="182"/>
      <c r="H18" s="182"/>
      <c r="I18" s="183"/>
      <c r="J18" s="175"/>
    </row>
    <row r="19" spans="1:10" ht="46.2" thickBot="1" x14ac:dyDescent="0.35">
      <c r="A19" s="1" t="s">
        <v>59</v>
      </c>
      <c r="B19" s="1">
        <v>15</v>
      </c>
      <c r="C19" s="8" t="s">
        <v>134</v>
      </c>
      <c r="D19" s="1" t="s">
        <v>11</v>
      </c>
      <c r="E19" s="55" t="s">
        <v>191</v>
      </c>
      <c r="F19" s="43">
        <v>45724</v>
      </c>
      <c r="G19" s="1" t="s">
        <v>192</v>
      </c>
      <c r="H19" s="1" t="s">
        <v>170</v>
      </c>
      <c r="I19" s="56"/>
      <c r="J19" s="175"/>
    </row>
    <row r="20" spans="1:10" ht="23.4" thickBot="1" x14ac:dyDescent="0.35">
      <c r="A20" s="201"/>
      <c r="B20" s="182"/>
      <c r="C20" s="182"/>
      <c r="D20" s="182"/>
      <c r="E20" s="182"/>
      <c r="F20" s="182"/>
      <c r="G20" s="182"/>
      <c r="H20" s="182"/>
      <c r="I20" s="183"/>
      <c r="J20" s="175"/>
    </row>
    <row r="21" spans="1:10" ht="25.8" thickBot="1" x14ac:dyDescent="0.35">
      <c r="A21" s="1" t="s">
        <v>62</v>
      </c>
      <c r="B21" s="1">
        <v>16</v>
      </c>
      <c r="C21" s="8" t="s">
        <v>136</v>
      </c>
      <c r="D21" s="1" t="s">
        <v>11</v>
      </c>
      <c r="E21" s="55" t="s">
        <v>193</v>
      </c>
      <c r="F21" s="43">
        <v>45724</v>
      </c>
      <c r="G21" s="1" t="s">
        <v>194</v>
      </c>
      <c r="H21" s="1" t="s">
        <v>170</v>
      </c>
      <c r="I21" s="56"/>
      <c r="J21" s="175"/>
    </row>
    <row r="22" spans="1:10" ht="15.75" customHeight="1" x14ac:dyDescent="0.3">
      <c r="A22" s="200"/>
      <c r="B22" s="175"/>
      <c r="C22" s="175"/>
      <c r="D22" s="175"/>
      <c r="E22" s="175"/>
      <c r="F22" s="175"/>
      <c r="G22" s="175"/>
      <c r="H22" s="175"/>
      <c r="I22" s="175"/>
      <c r="J22" s="175"/>
    </row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8">
    <mergeCell ref="A1:I1"/>
    <mergeCell ref="J1:J22"/>
    <mergeCell ref="A3:A14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F7FC-08C1-4A07-8AF7-6F4E5D9BA5EA}">
  <sheetPr codeName="Sheet21"/>
  <dimension ref="A1:J9"/>
  <sheetViews>
    <sheetView workbookViewId="0">
      <selection activeCell="J7" sqref="J7"/>
    </sheetView>
  </sheetViews>
  <sheetFormatPr defaultRowHeight="14.4" x14ac:dyDescent="0.3"/>
  <cols>
    <col min="2" max="2" width="24.88671875" customWidth="1"/>
    <col min="3" max="3" width="16.88671875" customWidth="1"/>
    <col min="4" max="4" width="19.33203125" customWidth="1"/>
    <col min="5" max="5" width="14.6640625" customWidth="1"/>
    <col min="6" max="6" width="17.21875" customWidth="1"/>
    <col min="7" max="7" width="14.21875" customWidth="1"/>
    <col min="8" max="8" width="16.77734375" customWidth="1"/>
    <col min="9" max="9" width="16.5546875" customWidth="1"/>
    <col min="10" max="10" width="17.109375" customWidth="1"/>
  </cols>
  <sheetData>
    <row r="1" spans="1:10" ht="23.4" thickBot="1" x14ac:dyDescent="0.35">
      <c r="A1" s="92" t="s">
        <v>68</v>
      </c>
      <c r="B1" s="1" t="s">
        <v>31</v>
      </c>
      <c r="C1" s="1" t="s">
        <v>93</v>
      </c>
      <c r="D1" s="1" t="s">
        <v>94</v>
      </c>
      <c r="E1" s="1" t="s">
        <v>155</v>
      </c>
      <c r="F1" s="1" t="s">
        <v>95</v>
      </c>
      <c r="G1" s="1" t="s">
        <v>35</v>
      </c>
      <c r="H1" s="1" t="s">
        <v>65</v>
      </c>
      <c r="I1" s="1" t="s">
        <v>66</v>
      </c>
      <c r="J1" s="16" t="s">
        <v>99</v>
      </c>
    </row>
    <row r="2" spans="1:10" ht="23.4" thickBot="1" x14ac:dyDescent="0.35">
      <c r="A2" t="s">
        <v>69</v>
      </c>
      <c r="B2" s="22" t="s">
        <v>17</v>
      </c>
      <c r="C2" s="98">
        <v>3</v>
      </c>
      <c r="D2" s="98">
        <v>1</v>
      </c>
      <c r="E2" s="89">
        <v>0</v>
      </c>
      <c r="F2" s="89">
        <v>2</v>
      </c>
      <c r="G2" s="98">
        <v>2</v>
      </c>
      <c r="H2" s="98">
        <v>4</v>
      </c>
      <c r="I2" s="98">
        <v>7</v>
      </c>
      <c r="J2" s="99">
        <v>-3</v>
      </c>
    </row>
    <row r="3" spans="1:10" ht="23.4" thickBot="1" x14ac:dyDescent="0.35">
      <c r="A3" t="s">
        <v>69</v>
      </c>
      <c r="B3" s="44" t="s">
        <v>12</v>
      </c>
      <c r="C3" s="100">
        <v>2</v>
      </c>
      <c r="D3" s="100">
        <v>2</v>
      </c>
      <c r="E3" s="100">
        <v>0</v>
      </c>
      <c r="F3" s="100">
        <v>0</v>
      </c>
      <c r="G3" s="100">
        <v>4</v>
      </c>
      <c r="H3" s="98">
        <v>7</v>
      </c>
      <c r="I3" s="98">
        <v>1</v>
      </c>
      <c r="J3" s="99">
        <v>6</v>
      </c>
    </row>
    <row r="4" spans="1:10" ht="23.4" thickBot="1" x14ac:dyDescent="0.35">
      <c r="A4" t="s">
        <v>69</v>
      </c>
      <c r="B4" s="17" t="s">
        <v>144</v>
      </c>
      <c r="C4" s="25">
        <v>3</v>
      </c>
      <c r="D4" s="24">
        <v>0</v>
      </c>
      <c r="E4" s="24">
        <v>0</v>
      </c>
      <c r="F4" s="25">
        <v>3</v>
      </c>
      <c r="G4" s="24">
        <v>0</v>
      </c>
      <c r="H4" s="24"/>
      <c r="I4" s="24"/>
      <c r="J4" s="77"/>
    </row>
    <row r="5" spans="1:10" ht="23.4" thickBot="1" x14ac:dyDescent="0.35">
      <c r="A5" t="s">
        <v>69</v>
      </c>
      <c r="B5" s="91" t="s">
        <v>19</v>
      </c>
      <c r="C5" s="100">
        <v>2</v>
      </c>
      <c r="D5" s="100">
        <v>2</v>
      </c>
      <c r="E5" s="100">
        <v>0</v>
      </c>
      <c r="F5" s="100">
        <v>0</v>
      </c>
      <c r="G5" s="100">
        <v>4</v>
      </c>
      <c r="H5" s="25">
        <v>6</v>
      </c>
      <c r="I5" s="25">
        <v>1</v>
      </c>
      <c r="J5" s="26">
        <v>5</v>
      </c>
    </row>
    <row r="6" spans="1:10" ht="23.4" thickBot="1" x14ac:dyDescent="0.35">
      <c r="A6" t="s">
        <v>70</v>
      </c>
      <c r="B6" s="44" t="s">
        <v>50</v>
      </c>
      <c r="C6" s="100">
        <v>3</v>
      </c>
      <c r="D6" s="100">
        <v>3</v>
      </c>
      <c r="E6" s="100">
        <v>0</v>
      </c>
      <c r="F6" s="100">
        <v>0</v>
      </c>
      <c r="G6" s="101">
        <v>6</v>
      </c>
      <c r="H6" s="89"/>
      <c r="I6" s="89"/>
      <c r="J6" s="89"/>
    </row>
    <row r="7" spans="1:10" ht="23.4" thickBot="1" x14ac:dyDescent="0.35">
      <c r="A7" t="s">
        <v>70</v>
      </c>
      <c r="B7" s="17" t="s">
        <v>23</v>
      </c>
      <c r="C7" s="89">
        <v>3</v>
      </c>
      <c r="D7" s="89">
        <v>0</v>
      </c>
      <c r="E7" s="89">
        <v>0</v>
      </c>
      <c r="F7" s="89">
        <v>3</v>
      </c>
      <c r="G7" s="89">
        <v>0</v>
      </c>
      <c r="H7" s="89">
        <v>4</v>
      </c>
      <c r="I7" s="89">
        <v>3</v>
      </c>
      <c r="J7" s="89">
        <v>1</v>
      </c>
    </row>
    <row r="8" spans="1:10" ht="23.4" thickBot="1" x14ac:dyDescent="0.35">
      <c r="A8" t="s">
        <v>70</v>
      </c>
      <c r="B8" s="17" t="s">
        <v>16</v>
      </c>
      <c r="C8" s="24">
        <v>2</v>
      </c>
      <c r="D8" s="24">
        <v>1</v>
      </c>
      <c r="E8" s="24">
        <v>0</v>
      </c>
      <c r="F8" s="24">
        <v>1</v>
      </c>
      <c r="G8" s="24">
        <v>2</v>
      </c>
      <c r="H8" s="24"/>
      <c r="I8" s="24"/>
      <c r="J8" s="24"/>
    </row>
    <row r="9" spans="1:10" ht="23.4" thickBot="1" x14ac:dyDescent="0.35">
      <c r="A9" t="s">
        <v>70</v>
      </c>
      <c r="B9" s="17" t="s">
        <v>91</v>
      </c>
      <c r="C9" s="24">
        <v>2</v>
      </c>
      <c r="D9" s="24">
        <v>1</v>
      </c>
      <c r="E9" s="24">
        <v>0</v>
      </c>
      <c r="F9" s="24">
        <v>1</v>
      </c>
      <c r="G9" s="24">
        <v>2</v>
      </c>
      <c r="H9" s="24"/>
      <c r="I9" s="24"/>
      <c r="J9" s="2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6864-D55F-4DBB-9539-8B44D00B5CE7}">
  <sheetPr codeName="Sheet20"/>
  <dimension ref="A1:M988"/>
  <sheetViews>
    <sheetView workbookViewId="0">
      <selection activeCell="K9" sqref="K9"/>
    </sheetView>
  </sheetViews>
  <sheetFormatPr defaultColWidth="12.88671875" defaultRowHeight="14.4" x14ac:dyDescent="0.3"/>
  <cols>
    <col min="1" max="1" width="25.44140625" customWidth="1"/>
    <col min="2" max="2" width="17.88671875" customWidth="1"/>
    <col min="3" max="3" width="14.77734375" customWidth="1"/>
    <col min="5" max="5" width="17.6640625" customWidth="1"/>
    <col min="6" max="6" width="34" customWidth="1"/>
    <col min="7" max="7" width="24.109375" customWidth="1"/>
    <col min="8" max="8" width="27.77734375" customWidth="1"/>
  </cols>
  <sheetData>
    <row r="1" spans="1:13" ht="30" customHeight="1" thickBot="1" x14ac:dyDescent="0.35">
      <c r="A1" s="195" t="s">
        <v>149</v>
      </c>
      <c r="B1" s="182"/>
      <c r="C1" s="182"/>
      <c r="D1" s="182"/>
      <c r="E1" s="182"/>
      <c r="F1" s="182"/>
      <c r="G1" s="182"/>
      <c r="H1" s="182"/>
      <c r="I1" s="183"/>
      <c r="J1" s="200"/>
    </row>
    <row r="2" spans="1:13" ht="46.5" customHeight="1" thickBot="1" x14ac:dyDescent="0.35">
      <c r="A2" s="1"/>
      <c r="B2" s="2" t="s">
        <v>1</v>
      </c>
      <c r="C2" s="3" t="s">
        <v>2</v>
      </c>
      <c r="D2" s="4" t="s">
        <v>3</v>
      </c>
      <c r="E2" s="5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75"/>
    </row>
    <row r="3" spans="1:13" ht="25.8" thickBot="1" x14ac:dyDescent="0.35">
      <c r="A3" s="166" t="s">
        <v>9</v>
      </c>
      <c r="B3" s="7">
        <v>1</v>
      </c>
      <c r="C3" s="8" t="s">
        <v>50</v>
      </c>
      <c r="D3" s="7" t="s">
        <v>11</v>
      </c>
      <c r="E3" s="7" t="s">
        <v>72</v>
      </c>
      <c r="F3" s="10">
        <v>45716</v>
      </c>
      <c r="G3" s="7" t="s">
        <v>26</v>
      </c>
      <c r="H3" s="7" t="s">
        <v>150</v>
      </c>
      <c r="I3" s="15">
        <v>45689</v>
      </c>
      <c r="J3" s="175"/>
    </row>
    <row r="4" spans="1:13" ht="46.2" thickBot="1" x14ac:dyDescent="0.35">
      <c r="A4" s="167"/>
      <c r="B4" s="7">
        <v>2</v>
      </c>
      <c r="C4" s="8" t="s">
        <v>22</v>
      </c>
      <c r="D4" s="9" t="s">
        <v>11</v>
      </c>
      <c r="E4" s="7" t="s">
        <v>116</v>
      </c>
      <c r="F4" s="10">
        <v>45716</v>
      </c>
      <c r="G4" s="7" t="s">
        <v>13</v>
      </c>
      <c r="H4" s="7" t="s">
        <v>150</v>
      </c>
      <c r="I4" s="11" t="s">
        <v>151</v>
      </c>
      <c r="J4" s="175"/>
    </row>
    <row r="5" spans="1:13" ht="25.8" thickBot="1" x14ac:dyDescent="0.35">
      <c r="A5" s="167"/>
      <c r="B5" s="12">
        <v>3</v>
      </c>
      <c r="C5" s="12" t="s">
        <v>25</v>
      </c>
      <c r="D5" s="12" t="s">
        <v>11</v>
      </c>
      <c r="E5" s="8" t="s">
        <v>12</v>
      </c>
      <c r="F5" s="13">
        <v>45717</v>
      </c>
      <c r="G5" s="12" t="s">
        <v>26</v>
      </c>
      <c r="H5" s="12" t="s">
        <v>150</v>
      </c>
      <c r="I5" s="53">
        <v>45661</v>
      </c>
      <c r="J5" s="175"/>
      <c r="L5" s="85" t="s">
        <v>123</v>
      </c>
      <c r="M5" s="85" t="s">
        <v>41</v>
      </c>
    </row>
    <row r="6" spans="1:13" ht="46.2" thickBot="1" x14ac:dyDescent="0.35">
      <c r="A6" s="167"/>
      <c r="B6" s="12">
        <v>4</v>
      </c>
      <c r="C6" s="8" t="s">
        <v>49</v>
      </c>
      <c r="D6" s="12" t="s">
        <v>11</v>
      </c>
      <c r="E6" s="12" t="s">
        <v>17</v>
      </c>
      <c r="F6" s="13">
        <v>45717</v>
      </c>
      <c r="G6" s="12" t="s">
        <v>13</v>
      </c>
      <c r="H6" s="12" t="s">
        <v>150</v>
      </c>
      <c r="I6" s="14" t="s">
        <v>152</v>
      </c>
      <c r="J6" s="175"/>
      <c r="L6" s="85" t="s">
        <v>125</v>
      </c>
      <c r="M6" s="85" t="s">
        <v>44</v>
      </c>
    </row>
    <row r="7" spans="1:13" ht="46.2" thickBot="1" x14ac:dyDescent="0.35">
      <c r="A7" s="167"/>
      <c r="B7" s="7">
        <v>5</v>
      </c>
      <c r="C7" s="7" t="s">
        <v>22</v>
      </c>
      <c r="D7" s="7" t="s">
        <v>11</v>
      </c>
      <c r="E7" s="8" t="s">
        <v>50</v>
      </c>
      <c r="F7" s="10">
        <v>45718</v>
      </c>
      <c r="G7" s="7" t="s">
        <v>26</v>
      </c>
      <c r="H7" s="7" t="s">
        <v>150</v>
      </c>
      <c r="I7" s="15">
        <v>45661</v>
      </c>
      <c r="J7" s="175"/>
    </row>
    <row r="8" spans="1:13" ht="25.8" thickBot="1" x14ac:dyDescent="0.35">
      <c r="A8" s="167"/>
      <c r="B8" s="12">
        <v>6</v>
      </c>
      <c r="C8" s="12" t="s">
        <v>17</v>
      </c>
      <c r="D8" s="12" t="s">
        <v>11</v>
      </c>
      <c r="E8" s="8" t="s">
        <v>12</v>
      </c>
      <c r="F8" s="13">
        <v>45718</v>
      </c>
      <c r="G8" s="12" t="s">
        <v>13</v>
      </c>
      <c r="H8" s="12" t="s">
        <v>150</v>
      </c>
      <c r="I8" s="14" t="s">
        <v>77</v>
      </c>
      <c r="J8" s="175"/>
    </row>
    <row r="9" spans="1:13" ht="46.2" thickBot="1" x14ac:dyDescent="0.35">
      <c r="A9" s="167"/>
      <c r="B9" s="7">
        <v>7</v>
      </c>
      <c r="C9" s="7" t="s">
        <v>116</v>
      </c>
      <c r="D9" s="7" t="s">
        <v>11</v>
      </c>
      <c r="E9" s="8" t="s">
        <v>72</v>
      </c>
      <c r="F9" s="10">
        <v>45719</v>
      </c>
      <c r="G9" s="7" t="s">
        <v>26</v>
      </c>
      <c r="H9" s="7" t="s">
        <v>150</v>
      </c>
      <c r="I9" s="11" t="s">
        <v>153</v>
      </c>
      <c r="J9" s="175"/>
    </row>
    <row r="10" spans="1:13" ht="46.2" thickBot="1" x14ac:dyDescent="0.35">
      <c r="A10" s="167"/>
      <c r="B10" s="12">
        <v>8</v>
      </c>
      <c r="C10" s="12" t="s">
        <v>25</v>
      </c>
      <c r="D10" s="12" t="s">
        <v>11</v>
      </c>
      <c r="E10" s="8" t="s">
        <v>49</v>
      </c>
      <c r="F10" s="13">
        <v>45719</v>
      </c>
      <c r="G10" s="12" t="s">
        <v>13</v>
      </c>
      <c r="H10" s="12" t="s">
        <v>150</v>
      </c>
      <c r="I10" s="53">
        <v>45659</v>
      </c>
      <c r="J10" s="175"/>
    </row>
    <row r="11" spans="1:13" ht="46.2" thickBot="1" x14ac:dyDescent="0.35">
      <c r="A11" s="167"/>
      <c r="B11" s="7">
        <v>9</v>
      </c>
      <c r="C11" s="7" t="s">
        <v>116</v>
      </c>
      <c r="D11" s="7" t="s">
        <v>11</v>
      </c>
      <c r="E11" s="8" t="s">
        <v>50</v>
      </c>
      <c r="F11" s="10">
        <v>45720</v>
      </c>
      <c r="G11" s="7" t="s">
        <v>26</v>
      </c>
      <c r="H11" s="7" t="s">
        <v>150</v>
      </c>
      <c r="I11" s="11" t="s">
        <v>153</v>
      </c>
      <c r="J11" s="175"/>
    </row>
    <row r="12" spans="1:13" ht="25.8" thickBot="1" x14ac:dyDescent="0.35">
      <c r="A12" s="167"/>
      <c r="B12" s="12">
        <v>10</v>
      </c>
      <c r="C12" s="12" t="s">
        <v>25</v>
      </c>
      <c r="D12" s="12" t="s">
        <v>11</v>
      </c>
      <c r="E12" s="8" t="s">
        <v>17</v>
      </c>
      <c r="F12" s="13">
        <v>45720</v>
      </c>
      <c r="G12" s="12" t="s">
        <v>13</v>
      </c>
      <c r="H12" s="12" t="s">
        <v>150</v>
      </c>
      <c r="I12" s="14" t="s">
        <v>154</v>
      </c>
      <c r="J12" s="175"/>
    </row>
    <row r="13" spans="1:13" ht="46.2" thickBot="1" x14ac:dyDescent="0.35">
      <c r="A13" s="167"/>
      <c r="B13" s="7">
        <v>11</v>
      </c>
      <c r="C13" s="7" t="s">
        <v>22</v>
      </c>
      <c r="D13" s="7" t="s">
        <v>11</v>
      </c>
      <c r="E13" s="8" t="s">
        <v>72</v>
      </c>
      <c r="F13" s="10">
        <v>45721</v>
      </c>
      <c r="G13" s="7" t="s">
        <v>26</v>
      </c>
      <c r="H13" s="7" t="s">
        <v>150</v>
      </c>
      <c r="I13" s="11"/>
      <c r="J13" s="175"/>
    </row>
    <row r="14" spans="1:13" ht="46.2" thickBot="1" x14ac:dyDescent="0.35">
      <c r="A14" s="168"/>
      <c r="B14" s="12">
        <v>12</v>
      </c>
      <c r="C14" s="12" t="s">
        <v>12</v>
      </c>
      <c r="D14" s="12" t="s">
        <v>11</v>
      </c>
      <c r="E14" s="8" t="s">
        <v>49</v>
      </c>
      <c r="F14" s="13">
        <v>45721</v>
      </c>
      <c r="G14" s="12" t="s">
        <v>13</v>
      </c>
      <c r="H14" s="12" t="s">
        <v>150</v>
      </c>
      <c r="I14" s="14"/>
      <c r="J14" s="175"/>
    </row>
    <row r="15" spans="1:13" ht="23.4" thickBot="1" x14ac:dyDescent="0.35">
      <c r="A15" s="201"/>
      <c r="B15" s="182"/>
      <c r="C15" s="182"/>
      <c r="D15" s="182"/>
      <c r="E15" s="182"/>
      <c r="F15" s="182"/>
      <c r="G15" s="182"/>
      <c r="H15" s="182"/>
      <c r="I15" s="183"/>
      <c r="J15" s="175"/>
    </row>
    <row r="16" spans="1:13" ht="69" thickBot="1" x14ac:dyDescent="0.35">
      <c r="A16" s="166" t="s">
        <v>55</v>
      </c>
      <c r="B16" s="1">
        <v>13</v>
      </c>
      <c r="C16" s="55" t="s">
        <v>156</v>
      </c>
      <c r="D16" s="1" t="s">
        <v>11</v>
      </c>
      <c r="E16" s="55" t="s">
        <v>157</v>
      </c>
      <c r="F16" s="43">
        <v>45723</v>
      </c>
      <c r="G16" s="1" t="s">
        <v>158</v>
      </c>
      <c r="H16" s="1" t="s">
        <v>150</v>
      </c>
      <c r="I16" s="56"/>
      <c r="J16" s="175"/>
    </row>
    <row r="17" spans="1:10" ht="69" thickBot="1" x14ac:dyDescent="0.35">
      <c r="A17" s="168"/>
      <c r="B17" s="1">
        <v>14</v>
      </c>
      <c r="C17" s="1" t="s">
        <v>159</v>
      </c>
      <c r="D17" s="1" t="s">
        <v>11</v>
      </c>
      <c r="E17" s="1" t="s">
        <v>160</v>
      </c>
      <c r="F17" s="43">
        <v>45723</v>
      </c>
      <c r="G17" s="1" t="s">
        <v>161</v>
      </c>
      <c r="H17" s="1" t="s">
        <v>150</v>
      </c>
      <c r="I17" s="56"/>
      <c r="J17" s="175"/>
    </row>
    <row r="18" spans="1:10" ht="23.4" thickBot="1" x14ac:dyDescent="0.35">
      <c r="A18" s="201"/>
      <c r="B18" s="182"/>
      <c r="C18" s="182"/>
      <c r="D18" s="182"/>
      <c r="E18" s="182"/>
      <c r="F18" s="182"/>
      <c r="G18" s="182"/>
      <c r="H18" s="182"/>
      <c r="I18" s="183"/>
      <c r="J18" s="175"/>
    </row>
    <row r="19" spans="1:10" ht="69" thickBot="1" x14ac:dyDescent="0.35">
      <c r="A19" s="1" t="s">
        <v>59</v>
      </c>
      <c r="B19" s="1">
        <v>15</v>
      </c>
      <c r="C19" s="55" t="s">
        <v>162</v>
      </c>
      <c r="D19" s="1" t="s">
        <v>11</v>
      </c>
      <c r="E19" s="8" t="s">
        <v>135</v>
      </c>
      <c r="F19" s="43">
        <v>45724</v>
      </c>
      <c r="G19" s="1" t="s">
        <v>163</v>
      </c>
      <c r="H19" s="1" t="s">
        <v>150</v>
      </c>
      <c r="I19" s="102"/>
      <c r="J19" s="175"/>
    </row>
    <row r="20" spans="1:10" ht="23.4" thickBot="1" x14ac:dyDescent="0.35">
      <c r="A20" s="201"/>
      <c r="B20" s="182"/>
      <c r="C20" s="182"/>
      <c r="D20" s="182"/>
      <c r="E20" s="182"/>
      <c r="F20" s="182"/>
      <c r="G20" s="182"/>
      <c r="H20" s="182"/>
      <c r="I20" s="183"/>
      <c r="J20" s="175"/>
    </row>
    <row r="21" spans="1:10" ht="46.2" thickBot="1" x14ac:dyDescent="0.35">
      <c r="A21" s="1" t="s">
        <v>62</v>
      </c>
      <c r="B21" s="1">
        <v>16</v>
      </c>
      <c r="C21" s="8" t="s">
        <v>164</v>
      </c>
      <c r="D21" s="1" t="s">
        <v>11</v>
      </c>
      <c r="E21" s="1" t="s">
        <v>165</v>
      </c>
      <c r="F21" s="43">
        <v>45724</v>
      </c>
      <c r="G21" s="1" t="s">
        <v>166</v>
      </c>
      <c r="H21" s="1" t="s">
        <v>150</v>
      </c>
      <c r="I21" s="1"/>
      <c r="J21" s="175"/>
    </row>
    <row r="22" spans="1:10" ht="15.75" customHeight="1" x14ac:dyDescent="0.3">
      <c r="A22" s="200"/>
      <c r="B22" s="175"/>
      <c r="C22" s="175"/>
      <c r="D22" s="175"/>
      <c r="E22" s="175"/>
      <c r="F22" s="175"/>
      <c r="G22" s="175"/>
      <c r="H22" s="175"/>
      <c r="I22" s="175"/>
      <c r="J22" s="175"/>
    </row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</sheetData>
  <mergeCells count="8">
    <mergeCell ref="A1:I1"/>
    <mergeCell ref="A3:A14"/>
    <mergeCell ref="J1:J22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89EA-D6E5-4BF4-B31D-237D716F38F3}">
  <sheetPr codeName="Sheet17"/>
  <dimension ref="B1:J9"/>
  <sheetViews>
    <sheetView topLeftCell="B1" workbookViewId="0">
      <selection activeCell="K9" sqref="K9"/>
    </sheetView>
  </sheetViews>
  <sheetFormatPr defaultRowHeight="14.4" x14ac:dyDescent="0.3"/>
  <cols>
    <col min="3" max="3" width="24.6640625" customWidth="1"/>
    <col min="4" max="4" width="17.33203125" customWidth="1"/>
    <col min="5" max="5" width="14.109375" customWidth="1"/>
    <col min="6" max="6" width="16.88671875" customWidth="1"/>
    <col min="7" max="7" width="13.88671875" customWidth="1"/>
    <col min="8" max="8" width="16.44140625" customWidth="1"/>
    <col min="9" max="9" width="25.44140625" customWidth="1"/>
    <col min="10" max="10" width="38.33203125" customWidth="1"/>
  </cols>
  <sheetData>
    <row r="1" spans="2:10" ht="64.2" customHeight="1" thickBot="1" x14ac:dyDescent="0.35">
      <c r="B1" s="92" t="s">
        <v>68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138</v>
      </c>
      <c r="I1" s="1" t="s">
        <v>139</v>
      </c>
      <c r="J1" s="16" t="s">
        <v>140</v>
      </c>
    </row>
    <row r="2" spans="2:10" ht="23.4" thickBot="1" x14ac:dyDescent="0.35">
      <c r="B2" t="s">
        <v>69</v>
      </c>
      <c r="C2" s="44" t="s">
        <v>47</v>
      </c>
      <c r="D2" s="89">
        <v>3</v>
      </c>
      <c r="E2" s="89">
        <v>3</v>
      </c>
      <c r="F2" s="89">
        <v>0</v>
      </c>
      <c r="G2" s="89">
        <v>6</v>
      </c>
      <c r="H2" s="89">
        <v>9</v>
      </c>
      <c r="I2" s="89">
        <v>1</v>
      </c>
      <c r="J2" s="90">
        <v>8</v>
      </c>
    </row>
    <row r="3" spans="2:10" ht="23.4" thickBot="1" x14ac:dyDescent="0.35">
      <c r="B3" t="s">
        <v>69</v>
      </c>
      <c r="C3" s="17" t="s">
        <v>46</v>
      </c>
      <c r="D3" s="89">
        <v>3</v>
      </c>
      <c r="E3" s="89">
        <v>0</v>
      </c>
      <c r="F3" s="89">
        <v>3</v>
      </c>
      <c r="G3" s="89">
        <v>0</v>
      </c>
      <c r="H3" s="89">
        <v>2</v>
      </c>
      <c r="I3" s="89">
        <v>9</v>
      </c>
      <c r="J3" s="90">
        <v>-7</v>
      </c>
    </row>
    <row r="4" spans="2:10" ht="23.4" thickBot="1" x14ac:dyDescent="0.35">
      <c r="B4" t="s">
        <v>69</v>
      </c>
      <c r="C4" s="17" t="s">
        <v>41</v>
      </c>
      <c r="D4" s="89">
        <v>3</v>
      </c>
      <c r="E4" s="24">
        <v>1</v>
      </c>
      <c r="F4" s="24">
        <v>2</v>
      </c>
      <c r="G4" s="24">
        <v>2</v>
      </c>
      <c r="H4" s="24">
        <v>6</v>
      </c>
      <c r="I4" s="24">
        <v>8</v>
      </c>
      <c r="J4" s="77">
        <v>-2</v>
      </c>
    </row>
    <row r="5" spans="2:10" ht="23.4" thickBot="1" x14ac:dyDescent="0.35">
      <c r="B5" t="s">
        <v>69</v>
      </c>
      <c r="C5" s="91" t="s">
        <v>40</v>
      </c>
      <c r="D5" s="89">
        <v>3</v>
      </c>
      <c r="E5" s="24">
        <v>2</v>
      </c>
      <c r="F5" s="24">
        <v>1</v>
      </c>
      <c r="G5" s="24">
        <v>4</v>
      </c>
      <c r="H5" s="24">
        <v>6</v>
      </c>
      <c r="I5" s="24">
        <v>5</v>
      </c>
      <c r="J5" s="77">
        <v>1</v>
      </c>
    </row>
    <row r="6" spans="2:10" ht="23.4" thickBot="1" x14ac:dyDescent="0.35">
      <c r="B6" t="s">
        <v>70</v>
      </c>
      <c r="C6" s="17" t="s">
        <v>44</v>
      </c>
      <c r="D6" s="89">
        <v>3</v>
      </c>
      <c r="E6" s="89">
        <v>3</v>
      </c>
      <c r="F6" s="89">
        <v>0</v>
      </c>
      <c r="G6" s="89">
        <v>6</v>
      </c>
      <c r="H6" s="89">
        <v>9</v>
      </c>
      <c r="I6" s="89">
        <v>3</v>
      </c>
      <c r="J6" s="89">
        <v>6</v>
      </c>
    </row>
    <row r="7" spans="2:10" ht="23.4" thickBot="1" x14ac:dyDescent="0.35">
      <c r="B7" t="s">
        <v>70</v>
      </c>
      <c r="C7" s="22" t="s">
        <v>45</v>
      </c>
      <c r="D7" s="89">
        <v>3</v>
      </c>
      <c r="E7" s="89"/>
      <c r="F7" s="89"/>
      <c r="G7" s="89"/>
      <c r="H7" s="89"/>
      <c r="I7" s="89"/>
      <c r="J7" s="89"/>
    </row>
    <row r="8" spans="2:10" ht="23.4" thickBot="1" x14ac:dyDescent="0.35">
      <c r="B8" t="s">
        <v>70</v>
      </c>
      <c r="C8" s="17" t="s">
        <v>42</v>
      </c>
      <c r="D8" s="24">
        <v>3</v>
      </c>
      <c r="E8" s="24"/>
      <c r="F8" s="24"/>
      <c r="G8" s="24"/>
      <c r="H8" s="24"/>
      <c r="I8" s="24"/>
      <c r="J8" s="24"/>
    </row>
    <row r="9" spans="2:10" ht="23.4" thickBot="1" x14ac:dyDescent="0.35">
      <c r="B9" t="s">
        <v>70</v>
      </c>
      <c r="C9" s="21" t="s">
        <v>43</v>
      </c>
      <c r="D9" s="24">
        <v>3</v>
      </c>
      <c r="E9" s="24"/>
      <c r="F9" s="24"/>
      <c r="G9" s="24"/>
      <c r="H9" s="24"/>
      <c r="I9" s="24"/>
      <c r="J9" s="2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DC4C-F1A2-4B14-A246-41EDB666D082}">
  <sheetPr codeName="Sheet16"/>
  <dimension ref="A1:M1000"/>
  <sheetViews>
    <sheetView zoomScale="70" workbookViewId="0">
      <selection activeCell="E25" sqref="E25"/>
    </sheetView>
  </sheetViews>
  <sheetFormatPr defaultColWidth="12.6640625" defaultRowHeight="14.4" x14ac:dyDescent="0.3"/>
  <cols>
    <col min="1" max="1" width="28.77734375" customWidth="1"/>
    <col min="2" max="2" width="13.88671875" customWidth="1"/>
    <col min="3" max="3" width="27.21875" customWidth="1"/>
    <col min="4" max="4" width="3.6640625" customWidth="1"/>
    <col min="5" max="5" width="25.109375" customWidth="1"/>
    <col min="6" max="6" width="37.109375" customWidth="1"/>
    <col min="7" max="7" width="37.77734375" customWidth="1"/>
    <col min="8" max="8" width="26.21875" customWidth="1"/>
    <col min="9" max="9" width="30.21875" customWidth="1"/>
  </cols>
  <sheetData>
    <row r="1" spans="1:13" ht="23.4" thickBot="1" x14ac:dyDescent="0.35">
      <c r="A1" s="195" t="s">
        <v>141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3" ht="61.8" thickBot="1" x14ac:dyDescent="0.35">
      <c r="A2" s="93"/>
      <c r="B2" s="94" t="s">
        <v>1</v>
      </c>
      <c r="C2" s="30" t="s">
        <v>2</v>
      </c>
      <c r="D2" s="30" t="s">
        <v>3</v>
      </c>
      <c r="E2" s="94" t="s">
        <v>4</v>
      </c>
      <c r="F2" s="94" t="s">
        <v>5</v>
      </c>
      <c r="G2" s="94" t="s">
        <v>6</v>
      </c>
      <c r="H2" s="94" t="s">
        <v>7</v>
      </c>
      <c r="I2" s="94" t="s">
        <v>8</v>
      </c>
      <c r="J2" s="27"/>
    </row>
    <row r="3" spans="1:13" ht="46.2" thickBot="1" x14ac:dyDescent="0.35">
      <c r="A3" s="166" t="s">
        <v>9</v>
      </c>
      <c r="B3" s="7">
        <v>1</v>
      </c>
      <c r="C3" s="8" t="s">
        <v>27</v>
      </c>
      <c r="D3" s="9" t="s">
        <v>11</v>
      </c>
      <c r="E3" s="7" t="s">
        <v>41</v>
      </c>
      <c r="F3" s="78">
        <v>45717</v>
      </c>
      <c r="G3" s="79" t="s">
        <v>118</v>
      </c>
      <c r="H3" s="79" t="s">
        <v>119</v>
      </c>
      <c r="I3" s="80">
        <v>45718</v>
      </c>
      <c r="J3" s="27"/>
    </row>
    <row r="4" spans="1:13" ht="46.2" thickBot="1" x14ac:dyDescent="0.35">
      <c r="A4" s="198"/>
      <c r="B4" s="7">
        <v>2</v>
      </c>
      <c r="C4" s="7" t="s">
        <v>46</v>
      </c>
      <c r="D4" s="7" t="s">
        <v>11</v>
      </c>
      <c r="E4" s="8" t="s">
        <v>47</v>
      </c>
      <c r="F4" s="78">
        <v>45717</v>
      </c>
      <c r="G4" s="79" t="s">
        <v>120</v>
      </c>
      <c r="H4" s="79" t="s">
        <v>121</v>
      </c>
      <c r="I4" s="81" t="s">
        <v>77</v>
      </c>
      <c r="J4" s="27"/>
    </row>
    <row r="5" spans="1:13" ht="46.2" thickBot="1" x14ac:dyDescent="0.35">
      <c r="A5" s="198"/>
      <c r="B5" s="12">
        <v>3</v>
      </c>
      <c r="C5" s="8" t="s">
        <v>42</v>
      </c>
      <c r="D5" s="12" t="s">
        <v>11</v>
      </c>
      <c r="E5" s="12" t="s">
        <v>43</v>
      </c>
      <c r="F5" s="82">
        <v>45717</v>
      </c>
      <c r="G5" s="83" t="s">
        <v>122</v>
      </c>
      <c r="H5" s="83" t="s">
        <v>119</v>
      </c>
      <c r="I5" s="84">
        <v>45717</v>
      </c>
      <c r="J5" s="27"/>
      <c r="L5" s="85"/>
      <c r="M5" s="85"/>
    </row>
    <row r="6" spans="1:13" ht="46.2" thickBot="1" x14ac:dyDescent="0.35">
      <c r="A6" s="198"/>
      <c r="B6" s="12">
        <v>4</v>
      </c>
      <c r="C6" s="8" t="s">
        <v>44</v>
      </c>
      <c r="D6" s="12" t="s">
        <v>11</v>
      </c>
      <c r="E6" s="12" t="s">
        <v>45</v>
      </c>
      <c r="F6" s="82">
        <v>45717</v>
      </c>
      <c r="G6" s="83" t="s">
        <v>124</v>
      </c>
      <c r="H6" s="83" t="s">
        <v>121</v>
      </c>
      <c r="I6" s="86" t="s">
        <v>86</v>
      </c>
      <c r="J6" s="27"/>
      <c r="L6" s="85"/>
      <c r="M6" s="85"/>
    </row>
    <row r="7" spans="1:13" ht="46.2" thickBot="1" x14ac:dyDescent="0.35">
      <c r="A7" s="198"/>
      <c r="B7" s="7">
        <v>5</v>
      </c>
      <c r="C7" s="8" t="s">
        <v>47</v>
      </c>
      <c r="D7" s="7" t="s">
        <v>11</v>
      </c>
      <c r="E7" s="7" t="s">
        <v>27</v>
      </c>
      <c r="F7" s="78">
        <v>45718</v>
      </c>
      <c r="G7" s="79" t="s">
        <v>118</v>
      </c>
      <c r="H7" s="79" t="s">
        <v>119</v>
      </c>
      <c r="I7" s="81" t="s">
        <v>86</v>
      </c>
      <c r="J7" s="27"/>
    </row>
    <row r="8" spans="1:13" ht="46.2" thickBot="1" x14ac:dyDescent="0.35">
      <c r="A8" s="198"/>
      <c r="B8" s="7">
        <v>6</v>
      </c>
      <c r="C8" s="7" t="s">
        <v>46</v>
      </c>
      <c r="D8" s="7" t="s">
        <v>11</v>
      </c>
      <c r="E8" s="8" t="s">
        <v>41</v>
      </c>
      <c r="F8" s="78">
        <v>45720</v>
      </c>
      <c r="G8" s="79" t="s">
        <v>126</v>
      </c>
      <c r="H8" s="79" t="s">
        <v>119</v>
      </c>
      <c r="I8" s="80">
        <v>45691</v>
      </c>
      <c r="J8" s="27"/>
    </row>
    <row r="9" spans="1:13" ht="46.2" thickBot="1" x14ac:dyDescent="0.35">
      <c r="A9" s="198"/>
      <c r="B9" s="12">
        <v>7</v>
      </c>
      <c r="C9" s="8" t="s">
        <v>44</v>
      </c>
      <c r="D9" s="12" t="s">
        <v>11</v>
      </c>
      <c r="E9" s="12" t="s">
        <v>43</v>
      </c>
      <c r="F9" s="82">
        <v>45718</v>
      </c>
      <c r="G9" s="83" t="s">
        <v>122</v>
      </c>
      <c r="H9" s="83" t="s">
        <v>121</v>
      </c>
      <c r="I9" s="84">
        <v>45717</v>
      </c>
      <c r="J9" s="27"/>
    </row>
    <row r="10" spans="1:13" ht="46.2" thickBot="1" x14ac:dyDescent="0.35">
      <c r="A10" s="198"/>
      <c r="B10" s="12">
        <v>8</v>
      </c>
      <c r="C10" s="8" t="s">
        <v>42</v>
      </c>
      <c r="D10" s="12" t="s">
        <v>11</v>
      </c>
      <c r="E10" s="12" t="s">
        <v>45</v>
      </c>
      <c r="F10" s="82">
        <v>45718</v>
      </c>
      <c r="G10" s="83" t="s">
        <v>127</v>
      </c>
      <c r="H10" s="83" t="s">
        <v>119</v>
      </c>
      <c r="I10" s="84">
        <v>45718</v>
      </c>
      <c r="J10" s="27"/>
    </row>
    <row r="11" spans="1:13" ht="46.2" thickBot="1" x14ac:dyDescent="0.35">
      <c r="A11" s="198"/>
      <c r="B11" s="7">
        <v>9</v>
      </c>
      <c r="C11" s="7" t="s">
        <v>46</v>
      </c>
      <c r="D11" s="7" t="s">
        <v>11</v>
      </c>
      <c r="E11" s="8" t="s">
        <v>27</v>
      </c>
      <c r="F11" s="78">
        <v>45719</v>
      </c>
      <c r="G11" s="79" t="s">
        <v>128</v>
      </c>
      <c r="H11" s="79" t="s">
        <v>119</v>
      </c>
      <c r="I11" s="81" t="s">
        <v>77</v>
      </c>
      <c r="J11" s="27"/>
    </row>
    <row r="12" spans="1:13" ht="46.2" thickBot="1" x14ac:dyDescent="0.35">
      <c r="A12" s="198"/>
      <c r="B12" s="7">
        <v>10</v>
      </c>
      <c r="C12" s="7" t="s">
        <v>41</v>
      </c>
      <c r="D12" s="7" t="s">
        <v>11</v>
      </c>
      <c r="E12" s="8" t="s">
        <v>47</v>
      </c>
      <c r="F12" s="78">
        <v>45719</v>
      </c>
      <c r="G12" s="79" t="s">
        <v>129</v>
      </c>
      <c r="H12" s="79" t="s">
        <v>121</v>
      </c>
      <c r="I12" s="80">
        <v>45660</v>
      </c>
      <c r="J12" s="27"/>
    </row>
    <row r="13" spans="1:13" ht="46.2" thickBot="1" x14ac:dyDescent="0.35">
      <c r="A13" s="198"/>
      <c r="B13" s="12">
        <v>11</v>
      </c>
      <c r="C13" s="8" t="s">
        <v>44</v>
      </c>
      <c r="D13" s="12" t="s">
        <v>11</v>
      </c>
      <c r="E13" s="12" t="s">
        <v>42</v>
      </c>
      <c r="F13" s="82">
        <v>45720</v>
      </c>
      <c r="G13" s="83" t="s">
        <v>128</v>
      </c>
      <c r="H13" s="83" t="s">
        <v>119</v>
      </c>
      <c r="I13" s="84">
        <v>45718</v>
      </c>
      <c r="J13" s="27"/>
    </row>
    <row r="14" spans="1:13" ht="46.2" thickBot="1" x14ac:dyDescent="0.35">
      <c r="A14" s="204"/>
      <c r="B14" s="12">
        <v>12</v>
      </c>
      <c r="C14" s="12" t="s">
        <v>45</v>
      </c>
      <c r="D14" s="12" t="s">
        <v>11</v>
      </c>
      <c r="E14" s="12" t="s">
        <v>43</v>
      </c>
      <c r="F14" s="82">
        <v>45720</v>
      </c>
      <c r="G14" s="83" t="s">
        <v>129</v>
      </c>
      <c r="H14" s="83" t="s">
        <v>121</v>
      </c>
      <c r="I14" s="86"/>
      <c r="J14" s="27"/>
    </row>
    <row r="15" spans="1:13" ht="23.4" thickBot="1" x14ac:dyDescent="0.35">
      <c r="A15" s="201"/>
      <c r="B15" s="202"/>
      <c r="C15" s="202"/>
      <c r="D15" s="202"/>
      <c r="E15" s="202"/>
      <c r="F15" s="202"/>
      <c r="G15" s="202"/>
      <c r="H15" s="202"/>
      <c r="I15" s="203"/>
      <c r="J15" s="27"/>
    </row>
    <row r="16" spans="1:13" ht="46.2" thickBot="1" x14ac:dyDescent="0.35">
      <c r="A16" s="166" t="s">
        <v>55</v>
      </c>
      <c r="B16" s="1">
        <v>13</v>
      </c>
      <c r="C16" s="1" t="s">
        <v>130</v>
      </c>
      <c r="D16" s="1" t="s">
        <v>11</v>
      </c>
      <c r="E16" s="1" t="s">
        <v>131</v>
      </c>
      <c r="F16" s="87">
        <v>45721</v>
      </c>
      <c r="G16" s="88" t="s">
        <v>128</v>
      </c>
      <c r="H16" s="1" t="s">
        <v>119</v>
      </c>
      <c r="I16" s="1"/>
      <c r="J16" s="27"/>
    </row>
    <row r="17" spans="1:10" ht="46.2" thickBot="1" x14ac:dyDescent="0.35">
      <c r="A17" s="204"/>
      <c r="B17" s="1">
        <v>14</v>
      </c>
      <c r="C17" s="1" t="s">
        <v>132</v>
      </c>
      <c r="D17" s="1" t="s">
        <v>11</v>
      </c>
      <c r="E17" s="1" t="s">
        <v>133</v>
      </c>
      <c r="F17" s="87">
        <v>45721</v>
      </c>
      <c r="G17" s="88" t="s">
        <v>129</v>
      </c>
      <c r="H17" s="1" t="s">
        <v>119</v>
      </c>
      <c r="I17" s="1"/>
      <c r="J17" s="27"/>
    </row>
    <row r="18" spans="1:10" ht="23.4" thickBot="1" x14ac:dyDescent="0.35">
      <c r="A18" s="201"/>
      <c r="B18" s="202"/>
      <c r="C18" s="202"/>
      <c r="D18" s="202"/>
      <c r="E18" s="202"/>
      <c r="F18" s="202"/>
      <c r="G18" s="202"/>
      <c r="H18" s="202"/>
      <c r="I18" s="203"/>
      <c r="J18" s="27"/>
    </row>
    <row r="19" spans="1:10" ht="69" customHeight="1" thickBot="1" x14ac:dyDescent="0.35">
      <c r="A19" s="1" t="s">
        <v>59</v>
      </c>
      <c r="B19" s="1">
        <v>15</v>
      </c>
      <c r="C19" s="1" t="s">
        <v>134</v>
      </c>
      <c r="D19" s="1" t="s">
        <v>11</v>
      </c>
      <c r="E19" s="8" t="s">
        <v>135</v>
      </c>
      <c r="F19" s="87">
        <v>45723</v>
      </c>
      <c r="G19" s="88" t="s">
        <v>128</v>
      </c>
      <c r="H19" s="1" t="s">
        <v>119</v>
      </c>
      <c r="I19" s="1"/>
      <c r="J19" s="27"/>
    </row>
    <row r="20" spans="1:10" ht="23.4" thickBot="1" x14ac:dyDescent="0.35">
      <c r="A20" s="201"/>
      <c r="B20" s="202"/>
      <c r="C20" s="202"/>
      <c r="D20" s="202"/>
      <c r="E20" s="202"/>
      <c r="F20" s="202"/>
      <c r="G20" s="202"/>
      <c r="H20" s="202"/>
      <c r="I20" s="203"/>
      <c r="J20" s="27"/>
    </row>
    <row r="21" spans="1:10" ht="46.2" thickBot="1" x14ac:dyDescent="0.35">
      <c r="A21" s="1" t="s">
        <v>62</v>
      </c>
      <c r="B21" s="1">
        <v>16</v>
      </c>
      <c r="C21" s="8" t="s">
        <v>136</v>
      </c>
      <c r="D21" s="1" t="s">
        <v>11</v>
      </c>
      <c r="E21" s="1" t="s">
        <v>137</v>
      </c>
      <c r="F21" s="87">
        <v>45723</v>
      </c>
      <c r="G21" s="88" t="s">
        <v>129</v>
      </c>
      <c r="H21" s="1" t="s">
        <v>119</v>
      </c>
      <c r="I21" s="1"/>
      <c r="J21" s="27"/>
    </row>
    <row r="22" spans="1:10" ht="33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30.75" customHeight="1" x14ac:dyDescent="0.3">
      <c r="A23" s="27"/>
      <c r="B23" s="27"/>
      <c r="F23" s="27"/>
      <c r="G23" s="27"/>
      <c r="H23" s="27"/>
      <c r="I23" s="27"/>
      <c r="J23" s="27"/>
    </row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6237-7FC7-4E84-A7AF-1C695B7E800B}">
  <sheetPr codeName="Sheet19"/>
  <dimension ref="A1:I7"/>
  <sheetViews>
    <sheetView workbookViewId="0">
      <selection activeCell="D2" sqref="D2"/>
    </sheetView>
  </sheetViews>
  <sheetFormatPr defaultRowHeight="14.4" x14ac:dyDescent="0.3"/>
  <cols>
    <col min="2" max="2" width="27.88671875" customWidth="1"/>
    <col min="3" max="3" width="28" customWidth="1"/>
    <col min="4" max="4" width="21.21875" customWidth="1"/>
    <col min="5" max="5" width="26.109375" customWidth="1"/>
    <col min="6" max="6" width="19.33203125" customWidth="1"/>
    <col min="7" max="7" width="14.109375" customWidth="1"/>
    <col min="8" max="8" width="19.44140625" customWidth="1"/>
    <col min="9" max="9" width="26.109375" customWidth="1"/>
  </cols>
  <sheetData>
    <row r="1" spans="1:9" ht="46.2" thickBot="1" x14ac:dyDescent="0.35">
      <c r="A1" s="92" t="s">
        <v>68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138</v>
      </c>
      <c r="H1" s="1" t="s">
        <v>139</v>
      </c>
      <c r="I1" s="16" t="s">
        <v>140</v>
      </c>
    </row>
    <row r="2" spans="1:9" ht="23.4" thickBot="1" x14ac:dyDescent="0.35">
      <c r="A2" t="s">
        <v>69</v>
      </c>
      <c r="B2" s="44" t="s">
        <v>44</v>
      </c>
      <c r="C2" s="89">
        <v>2</v>
      </c>
      <c r="D2" s="89">
        <v>1</v>
      </c>
      <c r="E2" s="89">
        <v>0</v>
      </c>
      <c r="F2" s="89">
        <v>4</v>
      </c>
      <c r="G2" s="89">
        <v>4</v>
      </c>
      <c r="H2" s="89">
        <v>0</v>
      </c>
      <c r="I2" s="90">
        <v>4</v>
      </c>
    </row>
    <row r="3" spans="1:9" ht="23.4" thickBot="1" x14ac:dyDescent="0.35">
      <c r="A3" t="s">
        <v>69</v>
      </c>
      <c r="B3" s="17" t="s">
        <v>42</v>
      </c>
      <c r="C3" s="89">
        <v>2</v>
      </c>
      <c r="D3" s="89">
        <v>0</v>
      </c>
      <c r="E3" s="89">
        <v>2</v>
      </c>
      <c r="F3" s="89">
        <v>0</v>
      </c>
      <c r="G3" s="89">
        <v>0</v>
      </c>
      <c r="H3" s="89">
        <v>4</v>
      </c>
      <c r="I3" s="90">
        <v>-4</v>
      </c>
    </row>
    <row r="4" spans="1:9" ht="23.4" thickBot="1" x14ac:dyDescent="0.35">
      <c r="A4" t="s">
        <v>69</v>
      </c>
      <c r="B4" s="44" t="s">
        <v>47</v>
      </c>
      <c r="C4" s="89">
        <v>2</v>
      </c>
      <c r="D4" s="24">
        <v>1</v>
      </c>
      <c r="E4" s="24">
        <v>1</v>
      </c>
      <c r="F4" s="24">
        <v>2</v>
      </c>
      <c r="G4" s="24">
        <v>2</v>
      </c>
      <c r="H4" s="24">
        <v>2</v>
      </c>
      <c r="I4" s="77">
        <v>0</v>
      </c>
    </row>
    <row r="5" spans="1:9" ht="23.4" thickBot="1" x14ac:dyDescent="0.35">
      <c r="A5" t="s">
        <v>70</v>
      </c>
      <c r="B5" s="17" t="s">
        <v>45</v>
      </c>
      <c r="C5" s="89">
        <v>2</v>
      </c>
      <c r="D5" s="89">
        <v>0</v>
      </c>
      <c r="E5" s="89">
        <v>2</v>
      </c>
      <c r="F5" s="89">
        <v>0</v>
      </c>
      <c r="G5" s="89">
        <v>1</v>
      </c>
      <c r="H5" s="89">
        <v>4</v>
      </c>
      <c r="I5" s="89">
        <v>-3</v>
      </c>
    </row>
    <row r="6" spans="1:9" ht="23.4" thickBot="1" x14ac:dyDescent="0.35">
      <c r="A6" t="s">
        <v>70</v>
      </c>
      <c r="B6" s="44" t="s">
        <v>46</v>
      </c>
      <c r="C6" s="89">
        <v>2</v>
      </c>
      <c r="D6" s="89">
        <v>1</v>
      </c>
      <c r="E6" s="89">
        <v>1</v>
      </c>
      <c r="F6" s="89">
        <v>2</v>
      </c>
      <c r="G6" s="89">
        <v>3</v>
      </c>
      <c r="H6" s="89">
        <v>3</v>
      </c>
      <c r="I6" s="89">
        <v>0</v>
      </c>
    </row>
    <row r="7" spans="1:9" ht="23.4" thickBot="1" x14ac:dyDescent="0.35">
      <c r="A7" t="s">
        <v>70</v>
      </c>
      <c r="B7" s="44" t="s">
        <v>40</v>
      </c>
      <c r="C7" s="89">
        <v>2</v>
      </c>
      <c r="D7" s="24">
        <v>2</v>
      </c>
      <c r="E7" s="24">
        <v>0</v>
      </c>
      <c r="F7" s="24">
        <v>4</v>
      </c>
      <c r="G7" s="24">
        <v>4</v>
      </c>
      <c r="H7" s="24">
        <v>1</v>
      </c>
      <c r="I7" s="24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5789-AAF5-42F8-B123-C578B6BD2A38}">
  <sheetPr codeName="Sheet18"/>
  <dimension ref="A1:I15"/>
  <sheetViews>
    <sheetView workbookViewId="0">
      <selection activeCell="E3" sqref="E3"/>
    </sheetView>
  </sheetViews>
  <sheetFormatPr defaultRowHeight="14.4" x14ac:dyDescent="0.3"/>
  <cols>
    <col min="1" max="1" width="22.44140625" customWidth="1"/>
    <col min="2" max="2" width="25.5546875" customWidth="1"/>
    <col min="3" max="3" width="26" customWidth="1"/>
    <col min="5" max="5" width="19.5546875" customWidth="1"/>
    <col min="6" max="6" width="35.109375" customWidth="1"/>
    <col min="7" max="7" width="24.44140625" customWidth="1"/>
    <col min="8" max="8" width="24.6640625" customWidth="1"/>
    <col min="9" max="9" width="23.88671875" customWidth="1"/>
  </cols>
  <sheetData>
    <row r="1" spans="1:9" ht="15" thickBot="1" x14ac:dyDescent="0.35">
      <c r="A1" s="195" t="s">
        <v>141</v>
      </c>
      <c r="B1" s="182"/>
      <c r="C1" s="182"/>
      <c r="D1" s="182"/>
      <c r="E1" s="182"/>
      <c r="F1" s="182"/>
      <c r="G1" s="182"/>
      <c r="H1" s="182"/>
      <c r="I1" s="183"/>
    </row>
    <row r="2" spans="1:9" ht="122.4" x14ac:dyDescent="0.3">
      <c r="A2" s="93"/>
      <c r="B2" s="94" t="s">
        <v>1</v>
      </c>
      <c r="C2" s="30" t="s">
        <v>2</v>
      </c>
      <c r="D2" s="30" t="s">
        <v>3</v>
      </c>
      <c r="E2" s="94" t="s">
        <v>4</v>
      </c>
      <c r="F2" s="94" t="s">
        <v>5</v>
      </c>
      <c r="G2" s="94" t="s">
        <v>6</v>
      </c>
      <c r="H2" s="94" t="s">
        <v>7</v>
      </c>
      <c r="I2" s="94" t="s">
        <v>8</v>
      </c>
    </row>
    <row r="3" spans="1:9" ht="45.6" x14ac:dyDescent="0.3">
      <c r="A3" s="205" t="s">
        <v>9</v>
      </c>
      <c r="B3" s="36">
        <v>1</v>
      </c>
      <c r="C3" s="33" t="s">
        <v>44</v>
      </c>
      <c r="D3" s="36" t="s">
        <v>11</v>
      </c>
      <c r="E3" s="36" t="s">
        <v>42</v>
      </c>
      <c r="F3" s="34">
        <v>45716</v>
      </c>
      <c r="G3" s="32" t="s">
        <v>24</v>
      </c>
      <c r="H3" s="36" t="s">
        <v>142</v>
      </c>
      <c r="I3" s="95" t="s">
        <v>15</v>
      </c>
    </row>
    <row r="4" spans="1:9" ht="45.6" x14ac:dyDescent="0.3">
      <c r="A4" s="206"/>
      <c r="B4" s="32">
        <v>2</v>
      </c>
      <c r="C4" s="32" t="s">
        <v>45</v>
      </c>
      <c r="D4" s="32" t="s">
        <v>11</v>
      </c>
      <c r="E4" s="33" t="s">
        <v>46</v>
      </c>
      <c r="F4" s="37">
        <v>45717</v>
      </c>
      <c r="G4" s="36" t="s">
        <v>118</v>
      </c>
      <c r="H4" s="32" t="s">
        <v>142</v>
      </c>
      <c r="I4" s="96">
        <v>45659</v>
      </c>
    </row>
    <row r="5" spans="1:9" ht="45.6" x14ac:dyDescent="0.3">
      <c r="A5" s="206"/>
      <c r="B5" s="36">
        <v>3</v>
      </c>
      <c r="C5" s="33" t="s">
        <v>44</v>
      </c>
      <c r="D5" s="36" t="s">
        <v>11</v>
      </c>
      <c r="E5" s="36" t="s">
        <v>47</v>
      </c>
      <c r="F5" s="37">
        <v>45718</v>
      </c>
      <c r="G5" s="36" t="s">
        <v>122</v>
      </c>
      <c r="H5" s="36" t="s">
        <v>142</v>
      </c>
      <c r="I5" s="95" t="s">
        <v>15</v>
      </c>
    </row>
    <row r="6" spans="1:9" ht="45.6" x14ac:dyDescent="0.3">
      <c r="A6" s="206"/>
      <c r="B6" s="32">
        <v>4</v>
      </c>
      <c r="C6" s="33" t="s">
        <v>40</v>
      </c>
      <c r="D6" s="32" t="s">
        <v>11</v>
      </c>
      <c r="E6" s="32" t="s">
        <v>46</v>
      </c>
      <c r="F6" s="34">
        <v>45718</v>
      </c>
      <c r="G6" s="32" t="s">
        <v>124</v>
      </c>
      <c r="H6" s="32" t="s">
        <v>142</v>
      </c>
      <c r="I6" s="96">
        <v>45689</v>
      </c>
    </row>
    <row r="7" spans="1:9" ht="45.6" x14ac:dyDescent="0.3">
      <c r="A7" s="206"/>
      <c r="B7" s="36">
        <v>5</v>
      </c>
      <c r="C7" s="33" t="s">
        <v>47</v>
      </c>
      <c r="D7" s="36" t="s">
        <v>11</v>
      </c>
      <c r="E7" s="36" t="s">
        <v>42</v>
      </c>
      <c r="F7" s="37">
        <v>45718</v>
      </c>
      <c r="G7" s="36" t="s">
        <v>118</v>
      </c>
      <c r="H7" s="36" t="s">
        <v>142</v>
      </c>
      <c r="I7" s="95" t="s">
        <v>15</v>
      </c>
    </row>
    <row r="8" spans="1:9" ht="45.6" x14ac:dyDescent="0.3">
      <c r="A8" s="207"/>
      <c r="B8" s="32">
        <v>6</v>
      </c>
      <c r="C8" s="32" t="s">
        <v>45</v>
      </c>
      <c r="D8" s="32" t="s">
        <v>11</v>
      </c>
      <c r="E8" s="33" t="s">
        <v>40</v>
      </c>
      <c r="F8" s="34">
        <v>45716</v>
      </c>
      <c r="G8" s="32" t="s">
        <v>24</v>
      </c>
      <c r="H8" s="32" t="s">
        <v>143</v>
      </c>
      <c r="I8" s="97" t="s">
        <v>21</v>
      </c>
    </row>
    <row r="9" spans="1:9" ht="15" thickBot="1" x14ac:dyDescent="0.35"/>
    <row r="10" spans="1:9" ht="46.2" thickBot="1" x14ac:dyDescent="0.35">
      <c r="A10" s="166" t="s">
        <v>55</v>
      </c>
      <c r="B10" s="1">
        <v>7</v>
      </c>
      <c r="C10" s="1" t="s">
        <v>50</v>
      </c>
      <c r="D10" s="1" t="s">
        <v>11</v>
      </c>
      <c r="E10" s="1" t="s">
        <v>19</v>
      </c>
      <c r="F10" s="87">
        <v>45721</v>
      </c>
      <c r="G10" s="88" t="s">
        <v>128</v>
      </c>
      <c r="H10" s="1" t="s">
        <v>142</v>
      </c>
      <c r="I10" s="1"/>
    </row>
    <row r="11" spans="1:9" ht="46.2" thickBot="1" x14ac:dyDescent="0.35">
      <c r="A11" s="168"/>
      <c r="B11" s="1">
        <v>8</v>
      </c>
      <c r="C11" s="1" t="s">
        <v>144</v>
      </c>
      <c r="D11" s="1" t="s">
        <v>11</v>
      </c>
      <c r="E11" s="1" t="s">
        <v>23</v>
      </c>
      <c r="F11" s="87">
        <v>45721</v>
      </c>
      <c r="G11" s="88" t="s">
        <v>129</v>
      </c>
      <c r="H11" s="1" t="s">
        <v>142</v>
      </c>
      <c r="I11" s="1"/>
    </row>
    <row r="12" spans="1:9" ht="23.4" thickBot="1" x14ac:dyDescent="0.35">
      <c r="A12" s="201"/>
      <c r="B12" s="182"/>
      <c r="C12" s="182"/>
      <c r="D12" s="182"/>
      <c r="E12" s="182"/>
      <c r="F12" s="182"/>
      <c r="G12" s="182"/>
      <c r="H12" s="182"/>
      <c r="I12" s="183"/>
    </row>
    <row r="13" spans="1:9" ht="46.2" thickBot="1" x14ac:dyDescent="0.35">
      <c r="A13" s="1" t="s">
        <v>59</v>
      </c>
      <c r="B13" s="1">
        <v>9</v>
      </c>
      <c r="C13" s="1" t="s">
        <v>145</v>
      </c>
      <c r="D13" s="1" t="s">
        <v>11</v>
      </c>
      <c r="E13" s="1" t="s">
        <v>146</v>
      </c>
      <c r="F13" s="87">
        <v>45723</v>
      </c>
      <c r="G13" s="88" t="s">
        <v>128</v>
      </c>
      <c r="H13" s="1" t="s">
        <v>142</v>
      </c>
      <c r="I13" s="1"/>
    </row>
    <row r="14" spans="1:9" ht="23.4" thickBot="1" x14ac:dyDescent="0.35">
      <c r="A14" s="201"/>
      <c r="B14" s="182"/>
      <c r="C14" s="182"/>
      <c r="D14" s="182"/>
      <c r="E14" s="182"/>
      <c r="F14" s="182"/>
      <c r="G14" s="182"/>
      <c r="H14" s="182"/>
      <c r="I14" s="183"/>
    </row>
    <row r="15" spans="1:9" ht="46.2" thickBot="1" x14ac:dyDescent="0.35">
      <c r="A15" s="1" t="s">
        <v>62</v>
      </c>
      <c r="B15" s="1">
        <v>10</v>
      </c>
      <c r="C15" s="1" t="s">
        <v>147</v>
      </c>
      <c r="D15" s="1" t="s">
        <v>11</v>
      </c>
      <c r="E15" s="1" t="s">
        <v>148</v>
      </c>
      <c r="F15" s="87">
        <v>45723</v>
      </c>
      <c r="G15" s="88" t="s">
        <v>129</v>
      </c>
      <c r="H15" s="1" t="s">
        <v>142</v>
      </c>
      <c r="I15" s="1"/>
    </row>
  </sheetData>
  <mergeCells count="5">
    <mergeCell ref="A1:I1"/>
    <mergeCell ref="A3:A8"/>
    <mergeCell ref="A10:A11"/>
    <mergeCell ref="A12:I12"/>
    <mergeCell ref="A14:I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18BE-0364-4BFB-BE92-310A2E44A0EA}">
  <sheetPr codeName="Sheet13"/>
  <dimension ref="A1:J10"/>
  <sheetViews>
    <sheetView workbookViewId="0">
      <selection activeCell="E25" sqref="E25"/>
    </sheetView>
  </sheetViews>
  <sheetFormatPr defaultRowHeight="14.4" x14ac:dyDescent="0.3"/>
  <cols>
    <col min="2" max="2" width="22.21875" customWidth="1"/>
    <col min="3" max="3" width="31.6640625" customWidth="1"/>
    <col min="4" max="4" width="26.33203125" customWidth="1"/>
    <col min="5" max="5" width="20.77734375" customWidth="1"/>
    <col min="6" max="6" width="19.6640625" customWidth="1"/>
    <col min="7" max="7" width="17.77734375" customWidth="1"/>
    <col min="8" max="8" width="14.44140625" customWidth="1"/>
    <col min="9" max="9" width="15.77734375" customWidth="1"/>
    <col min="10" max="10" width="18.6640625" customWidth="1"/>
  </cols>
  <sheetData>
    <row r="1" spans="1:10" ht="58.2" customHeight="1" thickBot="1" x14ac:dyDescent="0.35">
      <c r="A1" t="s">
        <v>68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6" t="s">
        <v>39</v>
      </c>
    </row>
    <row r="2" spans="1:10" ht="23.4" thickBot="1" x14ac:dyDescent="0.35">
      <c r="A2" t="s">
        <v>69</v>
      </c>
      <c r="B2" s="17" t="s">
        <v>40</v>
      </c>
      <c r="C2" s="18">
        <v>3</v>
      </c>
      <c r="D2" s="18">
        <v>2</v>
      </c>
      <c r="E2" s="18">
        <v>1</v>
      </c>
      <c r="F2" s="19">
        <v>7</v>
      </c>
      <c r="G2" s="19">
        <v>2</v>
      </c>
      <c r="H2" s="19">
        <v>0</v>
      </c>
      <c r="I2" s="19">
        <v>1</v>
      </c>
      <c r="J2" s="20">
        <v>0</v>
      </c>
    </row>
    <row r="3" spans="1:10" ht="23.4" thickBot="1" x14ac:dyDescent="0.35">
      <c r="A3" t="s">
        <v>69</v>
      </c>
      <c r="B3" s="17" t="s">
        <v>42</v>
      </c>
      <c r="C3" s="18">
        <v>3</v>
      </c>
      <c r="D3" s="18">
        <v>0</v>
      </c>
      <c r="E3" s="18">
        <v>3</v>
      </c>
      <c r="F3" s="18">
        <v>0</v>
      </c>
      <c r="G3" s="18">
        <v>0</v>
      </c>
      <c r="H3" s="19">
        <v>0</v>
      </c>
      <c r="I3" s="19">
        <v>0</v>
      </c>
      <c r="J3" s="20">
        <v>3</v>
      </c>
    </row>
    <row r="4" spans="1:10" ht="23.4" thickBot="1" x14ac:dyDescent="0.35">
      <c r="A4" t="s">
        <v>69</v>
      </c>
      <c r="B4" s="17" t="s">
        <v>44</v>
      </c>
      <c r="C4" s="24">
        <v>2</v>
      </c>
      <c r="D4" s="24">
        <v>2</v>
      </c>
      <c r="E4" s="24">
        <v>0</v>
      </c>
      <c r="F4" s="25">
        <v>5</v>
      </c>
      <c r="G4" s="25">
        <v>1</v>
      </c>
      <c r="H4" s="25">
        <v>1</v>
      </c>
      <c r="I4" s="25">
        <v>0</v>
      </c>
      <c r="J4" s="26">
        <v>0</v>
      </c>
    </row>
    <row r="5" spans="1:10" ht="23.4" thickBot="1" x14ac:dyDescent="0.35">
      <c r="A5" t="s">
        <v>69</v>
      </c>
      <c r="B5" s="21" t="s">
        <v>46</v>
      </c>
      <c r="C5" s="24">
        <v>2</v>
      </c>
      <c r="D5" s="24">
        <v>1</v>
      </c>
      <c r="E5" s="24">
        <v>1</v>
      </c>
      <c r="F5" s="25">
        <v>3</v>
      </c>
      <c r="G5" s="25">
        <v>1</v>
      </c>
      <c r="H5" s="25">
        <v>0</v>
      </c>
      <c r="I5" s="25">
        <v>0</v>
      </c>
      <c r="J5" s="26">
        <v>1</v>
      </c>
    </row>
    <row r="6" spans="1:10" ht="15" thickBot="1" x14ac:dyDescent="0.35"/>
    <row r="7" spans="1:10" ht="23.4" thickBot="1" x14ac:dyDescent="0.35">
      <c r="A7" t="s">
        <v>70</v>
      </c>
      <c r="B7" s="21" t="s">
        <v>41</v>
      </c>
      <c r="C7" s="19">
        <v>2</v>
      </c>
      <c r="D7" s="19">
        <v>2</v>
      </c>
      <c r="E7" s="18">
        <v>0</v>
      </c>
      <c r="F7" s="19">
        <v>6</v>
      </c>
      <c r="G7" s="18">
        <v>2</v>
      </c>
      <c r="H7" s="19">
        <v>0</v>
      </c>
      <c r="I7" s="18">
        <v>0</v>
      </c>
      <c r="J7" s="19">
        <v>0</v>
      </c>
    </row>
    <row r="8" spans="1:10" ht="23.4" thickBot="1" x14ac:dyDescent="0.35">
      <c r="A8" t="s">
        <v>70</v>
      </c>
      <c r="B8" s="22" t="s">
        <v>43</v>
      </c>
      <c r="C8" s="18">
        <v>2</v>
      </c>
      <c r="D8" s="18">
        <v>0</v>
      </c>
      <c r="E8" s="18">
        <v>2</v>
      </c>
      <c r="F8" s="18">
        <v>0</v>
      </c>
      <c r="G8" s="18">
        <v>0</v>
      </c>
      <c r="H8" s="19">
        <v>0</v>
      </c>
      <c r="I8" s="18">
        <v>0</v>
      </c>
      <c r="J8" s="23">
        <v>2</v>
      </c>
    </row>
    <row r="9" spans="1:10" ht="23.4" thickBot="1" x14ac:dyDescent="0.35">
      <c r="A9" t="s">
        <v>70</v>
      </c>
      <c r="B9" s="17" t="s">
        <v>45</v>
      </c>
      <c r="C9" s="25">
        <v>1</v>
      </c>
      <c r="D9" s="24">
        <v>1</v>
      </c>
      <c r="E9" s="24">
        <v>0</v>
      </c>
      <c r="F9" s="24">
        <v>2</v>
      </c>
      <c r="G9" s="25">
        <v>1</v>
      </c>
      <c r="H9" s="19">
        <v>0</v>
      </c>
      <c r="I9" s="18">
        <v>0</v>
      </c>
      <c r="J9" s="19">
        <v>0</v>
      </c>
    </row>
    <row r="10" spans="1:10" ht="23.4" thickBot="1" x14ac:dyDescent="0.35">
      <c r="A10" t="s">
        <v>70</v>
      </c>
      <c r="B10" s="21" t="s">
        <v>47</v>
      </c>
      <c r="C10" s="25">
        <v>3</v>
      </c>
      <c r="D10" s="24">
        <v>1</v>
      </c>
      <c r="E10" s="25">
        <v>2</v>
      </c>
      <c r="F10" s="25">
        <v>3</v>
      </c>
      <c r="G10" s="25">
        <v>1</v>
      </c>
      <c r="H10" s="19">
        <v>0</v>
      </c>
      <c r="I10" s="18">
        <v>0</v>
      </c>
      <c r="J10" s="19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8DC9-CBCD-437D-8122-8FD8CCAFA831}">
  <sheetPr codeName="Sheet12"/>
  <dimension ref="A1:J22"/>
  <sheetViews>
    <sheetView zoomScale="50" workbookViewId="0">
      <selection activeCell="K9" sqref="K9"/>
    </sheetView>
  </sheetViews>
  <sheetFormatPr defaultRowHeight="14.4" x14ac:dyDescent="0.3"/>
  <cols>
    <col min="1" max="1" width="41.5546875" customWidth="1"/>
    <col min="2" max="2" width="26" customWidth="1"/>
    <col min="3" max="3" width="31.88671875" customWidth="1"/>
    <col min="4" max="4" width="28.44140625" customWidth="1"/>
    <col min="5" max="5" width="32.21875" customWidth="1"/>
    <col min="6" max="6" width="24.5546875" customWidth="1"/>
    <col min="7" max="7" width="25.33203125" customWidth="1"/>
    <col min="8" max="8" width="25.5546875" customWidth="1"/>
    <col min="9" max="9" width="39.6640625" customWidth="1"/>
  </cols>
  <sheetData>
    <row r="1" spans="1:10" ht="42.6" customHeight="1" thickBot="1" x14ac:dyDescent="0.35">
      <c r="A1" s="195" t="s">
        <v>0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0" ht="123" customHeight="1" thickBot="1" x14ac:dyDescent="0.35">
      <c r="A2" s="1"/>
      <c r="B2" s="2" t="s">
        <v>1</v>
      </c>
      <c r="C2" s="3" t="s">
        <v>2</v>
      </c>
      <c r="D2" s="4" t="s">
        <v>3</v>
      </c>
      <c r="E2" s="5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7"/>
    </row>
    <row r="3" spans="1:10" ht="25.8" customHeight="1" thickBot="1" x14ac:dyDescent="0.35">
      <c r="A3" s="166" t="s">
        <v>9</v>
      </c>
      <c r="B3" s="7">
        <v>1</v>
      </c>
      <c r="C3" s="8" t="s">
        <v>10</v>
      </c>
      <c r="D3" s="9" t="s">
        <v>11</v>
      </c>
      <c r="E3" s="7" t="s">
        <v>12</v>
      </c>
      <c r="F3" s="10">
        <v>45716</v>
      </c>
      <c r="G3" s="7" t="s">
        <v>13</v>
      </c>
      <c r="H3" s="7" t="s">
        <v>14</v>
      </c>
      <c r="I3" s="11" t="s">
        <v>15</v>
      </c>
      <c r="J3" s="27"/>
    </row>
    <row r="4" spans="1:10" ht="25.8" thickBot="1" x14ac:dyDescent="0.35">
      <c r="A4" s="167"/>
      <c r="B4" s="12">
        <v>2</v>
      </c>
      <c r="C4" s="8" t="s">
        <v>16</v>
      </c>
      <c r="D4" s="12" t="s">
        <v>11</v>
      </c>
      <c r="E4" s="12" t="s">
        <v>17</v>
      </c>
      <c r="F4" s="13">
        <v>45716</v>
      </c>
      <c r="G4" s="12" t="s">
        <v>18</v>
      </c>
      <c r="H4" s="12" t="s">
        <v>14</v>
      </c>
      <c r="I4" s="14" t="s">
        <v>15</v>
      </c>
      <c r="J4" s="27"/>
    </row>
    <row r="5" spans="1:10" ht="25.8" thickBot="1" x14ac:dyDescent="0.35">
      <c r="A5" s="167"/>
      <c r="B5" s="7">
        <v>3</v>
      </c>
      <c r="C5" s="7" t="s">
        <v>12</v>
      </c>
      <c r="D5" s="7" t="s">
        <v>11</v>
      </c>
      <c r="E5" s="8" t="s">
        <v>19</v>
      </c>
      <c r="F5" s="10">
        <v>45717</v>
      </c>
      <c r="G5" s="7" t="s">
        <v>20</v>
      </c>
      <c r="H5" s="7" t="s">
        <v>14</v>
      </c>
      <c r="I5" s="11" t="s">
        <v>21</v>
      </c>
      <c r="J5" s="27"/>
    </row>
    <row r="6" spans="1:10" ht="25.8" thickBot="1" x14ac:dyDescent="0.35">
      <c r="A6" s="167"/>
      <c r="B6" s="12">
        <v>4</v>
      </c>
      <c r="C6" s="8" t="s">
        <v>22</v>
      </c>
      <c r="D6" s="12" t="s">
        <v>11</v>
      </c>
      <c r="E6" s="12" t="s">
        <v>23</v>
      </c>
      <c r="F6" s="13">
        <v>45717</v>
      </c>
      <c r="G6" s="12" t="s">
        <v>24</v>
      </c>
      <c r="H6" s="12" t="s">
        <v>14</v>
      </c>
      <c r="I6" s="14" t="s">
        <v>15</v>
      </c>
      <c r="J6" s="27"/>
    </row>
    <row r="7" spans="1:10" ht="25.8" thickBot="1" x14ac:dyDescent="0.35">
      <c r="A7" s="167"/>
      <c r="B7" s="7">
        <v>5</v>
      </c>
      <c r="C7" s="8" t="s">
        <v>10</v>
      </c>
      <c r="D7" s="7" t="s">
        <v>11</v>
      </c>
      <c r="E7" s="7" t="s">
        <v>25</v>
      </c>
      <c r="F7" s="10">
        <v>45717</v>
      </c>
      <c r="G7" s="7" t="s">
        <v>26</v>
      </c>
      <c r="H7" s="7" t="s">
        <v>14</v>
      </c>
      <c r="I7" s="15">
        <v>45689</v>
      </c>
      <c r="J7" s="27"/>
    </row>
    <row r="8" spans="1:10" ht="25.8" thickBot="1" x14ac:dyDescent="0.35">
      <c r="A8" s="167"/>
      <c r="B8" s="12">
        <v>6</v>
      </c>
      <c r="C8" s="8" t="s">
        <v>27</v>
      </c>
      <c r="D8" s="7" t="s">
        <v>11</v>
      </c>
      <c r="E8" s="7" t="s">
        <v>12</v>
      </c>
      <c r="F8" s="10">
        <v>45718</v>
      </c>
      <c r="G8" s="7" t="s">
        <v>24</v>
      </c>
      <c r="H8" s="7" t="s">
        <v>14</v>
      </c>
      <c r="I8" s="11" t="s">
        <v>15</v>
      </c>
      <c r="J8" s="27"/>
    </row>
    <row r="9" spans="1:10" ht="25.8" thickBot="1" x14ac:dyDescent="0.35">
      <c r="A9" s="167"/>
      <c r="B9" s="7">
        <v>7</v>
      </c>
      <c r="C9" s="12" t="s">
        <v>17</v>
      </c>
      <c r="D9" s="12" t="s">
        <v>11</v>
      </c>
      <c r="E9" s="8" t="s">
        <v>23</v>
      </c>
      <c r="F9" s="13">
        <v>45718</v>
      </c>
      <c r="G9" s="12" t="s">
        <v>26</v>
      </c>
      <c r="H9" s="12" t="s">
        <v>14</v>
      </c>
      <c r="I9" s="14" t="s">
        <v>21</v>
      </c>
      <c r="J9" s="27"/>
    </row>
    <row r="10" spans="1:10" ht="25.8" thickBot="1" x14ac:dyDescent="0.35">
      <c r="A10" s="167"/>
      <c r="B10" s="12">
        <v>8</v>
      </c>
      <c r="C10" s="8" t="s">
        <v>27</v>
      </c>
      <c r="D10" s="7" t="s">
        <v>11</v>
      </c>
      <c r="E10" s="8" t="s">
        <v>19</v>
      </c>
      <c r="F10" s="10">
        <v>45719</v>
      </c>
      <c r="G10" s="7" t="s">
        <v>28</v>
      </c>
      <c r="H10" s="7" t="s">
        <v>14</v>
      </c>
      <c r="I10" s="11" t="s">
        <v>15</v>
      </c>
      <c r="J10" s="27"/>
    </row>
    <row r="11" spans="1:10" ht="25.8" thickBot="1" x14ac:dyDescent="0.35">
      <c r="A11" s="167"/>
      <c r="B11" s="7">
        <v>9</v>
      </c>
      <c r="C11" s="8" t="s">
        <v>16</v>
      </c>
      <c r="D11" s="12" t="s">
        <v>11</v>
      </c>
      <c r="E11" s="12" t="s">
        <v>23</v>
      </c>
      <c r="F11" s="13">
        <v>45720</v>
      </c>
      <c r="G11" s="12" t="s">
        <v>28</v>
      </c>
      <c r="H11" s="12" t="s">
        <v>14</v>
      </c>
      <c r="I11" s="14" t="s">
        <v>15</v>
      </c>
      <c r="J11" s="27"/>
    </row>
    <row r="12" spans="1:10" ht="25.8" thickBot="1" x14ac:dyDescent="0.35">
      <c r="A12" s="167"/>
      <c r="B12" s="12">
        <v>10</v>
      </c>
      <c r="C12" s="12" t="s">
        <v>16</v>
      </c>
      <c r="D12" s="12" t="s">
        <v>11</v>
      </c>
      <c r="E12" s="12" t="s">
        <v>22</v>
      </c>
      <c r="F12" s="13">
        <v>45721</v>
      </c>
      <c r="G12" s="12" t="s">
        <v>29</v>
      </c>
      <c r="H12" s="12" t="s">
        <v>14</v>
      </c>
      <c r="I12" s="14"/>
      <c r="J12" s="27"/>
    </row>
    <row r="13" spans="1:10" ht="25.8" thickBot="1" x14ac:dyDescent="0.35">
      <c r="A13" s="167"/>
      <c r="B13" s="7">
        <v>11</v>
      </c>
      <c r="C13" s="7" t="s">
        <v>10</v>
      </c>
      <c r="D13" s="7" t="s">
        <v>11</v>
      </c>
      <c r="E13" s="7" t="s">
        <v>19</v>
      </c>
      <c r="F13" s="10">
        <v>45722</v>
      </c>
      <c r="G13" s="7" t="s">
        <v>13</v>
      </c>
      <c r="H13" s="7" t="s">
        <v>14</v>
      </c>
      <c r="I13" s="11"/>
      <c r="J13" s="27"/>
    </row>
    <row r="14" spans="1:10" ht="25.8" thickBot="1" x14ac:dyDescent="0.35">
      <c r="A14" s="168"/>
      <c r="B14" s="12">
        <v>12</v>
      </c>
      <c r="C14" s="12" t="s">
        <v>22</v>
      </c>
      <c r="D14" s="12" t="s">
        <v>11</v>
      </c>
      <c r="E14" s="12" t="s">
        <v>17</v>
      </c>
      <c r="F14" s="13">
        <v>45722</v>
      </c>
      <c r="G14" s="12" t="s">
        <v>30</v>
      </c>
      <c r="H14" s="12" t="s">
        <v>14</v>
      </c>
      <c r="I14" s="14"/>
      <c r="J14" s="27"/>
    </row>
    <row r="15" spans="1:10" ht="23.4" thickBot="1" x14ac:dyDescent="0.35">
      <c r="A15" s="201"/>
      <c r="B15" s="182"/>
      <c r="C15" s="182"/>
      <c r="D15" s="182"/>
      <c r="E15" s="182"/>
      <c r="F15" s="182"/>
      <c r="G15" s="182"/>
      <c r="H15" s="182"/>
      <c r="I15" s="183"/>
      <c r="J15" s="27"/>
    </row>
    <row r="16" spans="1:10" ht="23.4" thickBot="1" x14ac:dyDescent="0.65">
      <c r="A16" s="166" t="s">
        <v>55</v>
      </c>
      <c r="B16" s="1">
        <v>13</v>
      </c>
      <c r="C16" s="1" t="s">
        <v>406</v>
      </c>
      <c r="D16" s="1" t="s">
        <v>11</v>
      </c>
      <c r="E16" s="1" t="s">
        <v>407</v>
      </c>
      <c r="F16" s="41">
        <v>45723</v>
      </c>
      <c r="G16" s="42" t="s">
        <v>28</v>
      </c>
      <c r="H16" s="1" t="s">
        <v>14</v>
      </c>
      <c r="I16" s="1"/>
      <c r="J16" s="27"/>
    </row>
    <row r="17" spans="1:10" ht="23.4" thickBot="1" x14ac:dyDescent="0.65">
      <c r="A17" s="168"/>
      <c r="B17" s="1">
        <v>14</v>
      </c>
      <c r="C17" s="1" t="s">
        <v>408</v>
      </c>
      <c r="D17" s="1" t="s">
        <v>11</v>
      </c>
      <c r="E17" s="1" t="s">
        <v>187</v>
      </c>
      <c r="F17" s="41">
        <v>45723</v>
      </c>
      <c r="G17" s="42" t="s">
        <v>409</v>
      </c>
      <c r="H17" s="1" t="s">
        <v>14</v>
      </c>
      <c r="I17" s="1"/>
      <c r="J17" s="27"/>
    </row>
    <row r="18" spans="1:10" ht="23.4" thickBot="1" x14ac:dyDescent="0.35">
      <c r="A18" s="201"/>
      <c r="B18" s="182"/>
      <c r="C18" s="182"/>
      <c r="D18" s="182"/>
      <c r="E18" s="182"/>
      <c r="F18" s="182"/>
      <c r="G18" s="182"/>
      <c r="H18" s="182"/>
      <c r="I18" s="183"/>
      <c r="J18" s="27"/>
    </row>
    <row r="19" spans="1:10" ht="91.8" thickBot="1" x14ac:dyDescent="0.35">
      <c r="A19" s="1" t="s">
        <v>59</v>
      </c>
      <c r="B19" s="1">
        <v>15</v>
      </c>
      <c r="C19" s="8" t="s">
        <v>40</v>
      </c>
      <c r="D19" s="1" t="s">
        <v>11</v>
      </c>
      <c r="E19" s="1" t="s">
        <v>45</v>
      </c>
      <c r="F19" s="43">
        <v>45724</v>
      </c>
      <c r="G19" s="1" t="s">
        <v>410</v>
      </c>
      <c r="H19" s="1" t="s">
        <v>14</v>
      </c>
      <c r="I19" s="1"/>
      <c r="J19" s="27"/>
    </row>
    <row r="20" spans="1:10" ht="23.4" thickBot="1" x14ac:dyDescent="0.35">
      <c r="A20" s="201"/>
      <c r="B20" s="182"/>
      <c r="C20" s="182"/>
      <c r="D20" s="182"/>
      <c r="E20" s="182"/>
      <c r="F20" s="182"/>
      <c r="G20" s="182"/>
      <c r="H20" s="182"/>
      <c r="I20" s="183"/>
      <c r="J20" s="27"/>
    </row>
    <row r="21" spans="1:10" ht="46.2" thickBot="1" x14ac:dyDescent="0.35">
      <c r="A21" s="1" t="s">
        <v>62</v>
      </c>
      <c r="B21" s="1">
        <v>16</v>
      </c>
      <c r="C21" s="8" t="s">
        <v>41</v>
      </c>
      <c r="D21" s="1" t="s">
        <v>11</v>
      </c>
      <c r="E21" s="1" t="s">
        <v>44</v>
      </c>
      <c r="F21" s="43">
        <v>45724</v>
      </c>
      <c r="G21" s="1" t="s">
        <v>411</v>
      </c>
      <c r="H21" s="1" t="s">
        <v>14</v>
      </c>
      <c r="I21" s="1"/>
      <c r="J21" s="27"/>
    </row>
    <row r="22" spans="1:10" ht="22.8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</row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0A0D-E4CD-4971-9A03-4D421A3D28C8}">
  <sheetPr codeName="Sheet15"/>
  <dimension ref="A1:J7"/>
  <sheetViews>
    <sheetView workbookViewId="0">
      <selection activeCell="E25" sqref="E25"/>
    </sheetView>
  </sheetViews>
  <sheetFormatPr defaultRowHeight="14.4" x14ac:dyDescent="0.3"/>
  <cols>
    <col min="2" max="2" width="32.109375" customWidth="1"/>
    <col min="3" max="3" width="15.6640625" customWidth="1"/>
    <col min="4" max="4" width="22.88671875" customWidth="1"/>
    <col min="5" max="5" width="21.5546875" customWidth="1"/>
    <col min="6" max="6" width="18.77734375" customWidth="1"/>
    <col min="8" max="8" width="18.88671875" customWidth="1"/>
    <col min="9" max="9" width="17.6640625" customWidth="1"/>
  </cols>
  <sheetData>
    <row r="1" spans="1:10" ht="91.8" thickBot="1" x14ac:dyDescent="0.35">
      <c r="A1" s="48" t="s">
        <v>68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65</v>
      </c>
      <c r="H1" s="1" t="s">
        <v>66</v>
      </c>
      <c r="I1" s="16" t="s">
        <v>67</v>
      </c>
      <c r="J1" s="16"/>
    </row>
    <row r="2" spans="1:10" ht="23.4" thickBot="1" x14ac:dyDescent="0.35">
      <c r="A2" t="s">
        <v>69</v>
      </c>
      <c r="B2" s="44" t="s">
        <v>40</v>
      </c>
      <c r="C2" s="18">
        <v>2</v>
      </c>
      <c r="D2" s="18">
        <v>2</v>
      </c>
      <c r="E2" s="18">
        <v>0</v>
      </c>
      <c r="F2" s="18">
        <v>4</v>
      </c>
      <c r="G2" s="18">
        <v>4</v>
      </c>
      <c r="H2" s="18">
        <v>0</v>
      </c>
      <c r="I2" s="45" t="s">
        <v>3</v>
      </c>
    </row>
    <row r="3" spans="1:10" ht="23.4" thickBot="1" x14ac:dyDescent="0.35">
      <c r="A3" t="s">
        <v>69</v>
      </c>
      <c r="B3" s="17" t="s">
        <v>43</v>
      </c>
      <c r="C3" s="18">
        <v>2</v>
      </c>
      <c r="D3" s="18">
        <v>0</v>
      </c>
      <c r="E3" s="18">
        <v>2</v>
      </c>
      <c r="F3" s="18">
        <v>0</v>
      </c>
      <c r="G3" s="18">
        <v>1</v>
      </c>
      <c r="H3" s="18">
        <v>4</v>
      </c>
      <c r="I3" s="45">
        <v>0.5</v>
      </c>
    </row>
    <row r="4" spans="1:10" ht="23.4" thickBot="1" x14ac:dyDescent="0.35">
      <c r="A4" t="s">
        <v>69</v>
      </c>
      <c r="B4" s="44" t="s">
        <v>47</v>
      </c>
      <c r="C4" s="24">
        <v>2</v>
      </c>
      <c r="D4" s="24">
        <v>1</v>
      </c>
      <c r="E4" s="24">
        <v>1</v>
      </c>
      <c r="F4" s="24">
        <v>2</v>
      </c>
      <c r="G4" s="24">
        <v>2</v>
      </c>
      <c r="H4" s="24">
        <v>3</v>
      </c>
      <c r="I4" s="46">
        <v>0.67769999999999997</v>
      </c>
    </row>
    <row r="5" spans="1:10" ht="23.4" thickBot="1" x14ac:dyDescent="0.35">
      <c r="A5" t="s">
        <v>70</v>
      </c>
      <c r="B5" s="44" t="s">
        <v>46</v>
      </c>
      <c r="C5" s="18">
        <v>2</v>
      </c>
      <c r="D5" s="18">
        <v>2</v>
      </c>
      <c r="E5" s="18">
        <v>0</v>
      </c>
      <c r="F5" s="18">
        <v>4</v>
      </c>
      <c r="G5" s="18">
        <v>4</v>
      </c>
      <c r="H5" s="18">
        <v>0</v>
      </c>
      <c r="I5" s="18" t="s">
        <v>3</v>
      </c>
    </row>
    <row r="6" spans="1:10" ht="23.4" thickBot="1" x14ac:dyDescent="0.35">
      <c r="A6" t="s">
        <v>70</v>
      </c>
      <c r="B6" s="22" t="s">
        <v>45</v>
      </c>
      <c r="C6" s="18">
        <v>2</v>
      </c>
      <c r="D6" s="18">
        <v>0</v>
      </c>
      <c r="E6" s="18">
        <v>2</v>
      </c>
      <c r="F6" s="18">
        <v>0</v>
      </c>
      <c r="G6" s="18">
        <v>0</v>
      </c>
      <c r="H6" s="18">
        <v>4</v>
      </c>
      <c r="I6" s="18">
        <v>0</v>
      </c>
    </row>
    <row r="7" spans="1:10" ht="23.4" thickBot="1" x14ac:dyDescent="0.35">
      <c r="A7" t="s">
        <v>70</v>
      </c>
      <c r="B7" s="44" t="s">
        <v>44</v>
      </c>
      <c r="C7" s="24">
        <v>2</v>
      </c>
      <c r="D7" s="24">
        <v>1</v>
      </c>
      <c r="E7" s="24">
        <v>1</v>
      </c>
      <c r="F7" s="24">
        <v>2</v>
      </c>
      <c r="G7" s="24">
        <v>2</v>
      </c>
      <c r="H7" s="24">
        <v>2</v>
      </c>
      <c r="I7" s="4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EC59-8DD1-4B82-A602-CD123E215FCB}">
  <sheetPr codeName="Sheet14"/>
  <dimension ref="A1:K1000"/>
  <sheetViews>
    <sheetView workbookViewId="0">
      <selection activeCell="E25" sqref="E25"/>
    </sheetView>
  </sheetViews>
  <sheetFormatPr defaultColWidth="12.6640625" defaultRowHeight="14.4" x14ac:dyDescent="0.3"/>
  <cols>
    <col min="1" max="1" width="11.21875" customWidth="1"/>
    <col min="2" max="2" width="13.77734375" customWidth="1"/>
    <col min="3" max="3" width="27.33203125" customWidth="1"/>
    <col min="4" max="4" width="3.44140625" customWidth="1"/>
    <col min="5" max="5" width="24.21875" customWidth="1"/>
    <col min="6" max="6" width="24.44140625" customWidth="1"/>
    <col min="7" max="7" width="24" customWidth="1"/>
    <col min="8" max="8" width="28.33203125" customWidth="1"/>
    <col min="9" max="9" width="19.88671875" customWidth="1"/>
  </cols>
  <sheetData>
    <row r="1" spans="1:11" ht="23.4" thickBot="1" x14ac:dyDescent="0.35">
      <c r="A1" s="195" t="s">
        <v>48</v>
      </c>
      <c r="B1" s="182"/>
      <c r="C1" s="182"/>
      <c r="D1" s="182"/>
      <c r="E1" s="182"/>
      <c r="F1" s="182"/>
      <c r="G1" s="182"/>
      <c r="H1" s="182"/>
      <c r="I1" s="183"/>
      <c r="J1" s="27"/>
    </row>
    <row r="2" spans="1:11" ht="61.2" x14ac:dyDescent="0.3">
      <c r="A2" s="6"/>
      <c r="B2" s="28" t="s">
        <v>1</v>
      </c>
      <c r="C2" s="29" t="s">
        <v>2</v>
      </c>
      <c r="D2" s="30" t="s">
        <v>3</v>
      </c>
      <c r="E2" s="31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7"/>
    </row>
    <row r="3" spans="1:11" ht="25.2" x14ac:dyDescent="0.3">
      <c r="A3" s="205" t="s">
        <v>9</v>
      </c>
      <c r="B3" s="32">
        <v>1</v>
      </c>
      <c r="C3" s="33" t="s">
        <v>49</v>
      </c>
      <c r="D3" s="32" t="s">
        <v>11</v>
      </c>
      <c r="E3" s="32" t="s">
        <v>50</v>
      </c>
      <c r="F3" s="34">
        <v>45717</v>
      </c>
      <c r="G3" s="32" t="s">
        <v>51</v>
      </c>
      <c r="H3" s="32" t="s">
        <v>14</v>
      </c>
      <c r="I3" s="35" t="s">
        <v>15</v>
      </c>
      <c r="J3" s="27"/>
    </row>
    <row r="4" spans="1:11" ht="25.2" x14ac:dyDescent="0.3">
      <c r="A4" s="206"/>
      <c r="B4" s="36">
        <v>2</v>
      </c>
      <c r="C4" s="33" t="s">
        <v>27</v>
      </c>
      <c r="D4" s="36" t="s">
        <v>11</v>
      </c>
      <c r="E4" s="36" t="s">
        <v>52</v>
      </c>
      <c r="F4" s="37">
        <v>45717</v>
      </c>
      <c r="G4" s="36" t="s">
        <v>53</v>
      </c>
      <c r="H4" s="36" t="s">
        <v>14</v>
      </c>
      <c r="I4" s="38" t="s">
        <v>15</v>
      </c>
      <c r="J4" s="27"/>
      <c r="K4" s="39"/>
    </row>
    <row r="5" spans="1:11" ht="25.2" x14ac:dyDescent="0.3">
      <c r="A5" s="206"/>
      <c r="B5" s="36">
        <v>3</v>
      </c>
      <c r="C5" s="33" t="s">
        <v>27</v>
      </c>
      <c r="D5" s="36" t="s">
        <v>11</v>
      </c>
      <c r="E5" s="36" t="s">
        <v>54</v>
      </c>
      <c r="F5" s="37">
        <v>45718</v>
      </c>
      <c r="G5" s="36" t="s">
        <v>51</v>
      </c>
      <c r="H5" s="36" t="s">
        <v>14</v>
      </c>
      <c r="I5" s="38" t="s">
        <v>15</v>
      </c>
      <c r="J5" s="27"/>
    </row>
    <row r="6" spans="1:11" ht="25.2" x14ac:dyDescent="0.3">
      <c r="A6" s="206"/>
      <c r="B6" s="32">
        <v>4</v>
      </c>
      <c r="C6" s="33" t="s">
        <v>49</v>
      </c>
      <c r="D6" s="32" t="s">
        <v>11</v>
      </c>
      <c r="E6" s="32" t="s">
        <v>22</v>
      </c>
      <c r="F6" s="34">
        <v>45718</v>
      </c>
      <c r="G6" s="32" t="s">
        <v>53</v>
      </c>
      <c r="H6" s="32" t="s">
        <v>14</v>
      </c>
      <c r="I6" s="35" t="s">
        <v>15</v>
      </c>
      <c r="J6" s="27"/>
    </row>
    <row r="7" spans="1:11" ht="25.2" x14ac:dyDescent="0.3">
      <c r="A7" s="206"/>
      <c r="B7" s="36">
        <v>5</v>
      </c>
      <c r="C7" s="36" t="s">
        <v>54</v>
      </c>
      <c r="D7" s="36" t="s">
        <v>11</v>
      </c>
      <c r="E7" s="33" t="s">
        <v>52</v>
      </c>
      <c r="F7" s="37">
        <v>45719</v>
      </c>
      <c r="G7" s="36" t="s">
        <v>51</v>
      </c>
      <c r="H7" s="36" t="s">
        <v>14</v>
      </c>
      <c r="I7" s="40">
        <v>45659</v>
      </c>
      <c r="J7" s="27"/>
    </row>
    <row r="8" spans="1:11" ht="25.2" x14ac:dyDescent="0.3">
      <c r="A8" s="207"/>
      <c r="B8" s="32">
        <v>6</v>
      </c>
      <c r="C8" s="33" t="s">
        <v>50</v>
      </c>
      <c r="D8" s="32" t="s">
        <v>11</v>
      </c>
      <c r="E8" s="32" t="s">
        <v>22</v>
      </c>
      <c r="F8" s="34">
        <v>45720</v>
      </c>
      <c r="G8" s="32" t="s">
        <v>51</v>
      </c>
      <c r="H8" s="32" t="s">
        <v>14</v>
      </c>
      <c r="I8" s="35" t="s">
        <v>15</v>
      </c>
      <c r="J8" s="27"/>
    </row>
    <row r="9" spans="1:11" ht="22.8" x14ac:dyDescent="0.3">
      <c r="A9" s="27"/>
      <c r="B9" s="39"/>
      <c r="C9" s="39"/>
      <c r="D9" s="39"/>
      <c r="E9" s="39"/>
      <c r="F9" s="39"/>
      <c r="G9" s="39"/>
      <c r="H9" s="39"/>
      <c r="I9" s="39"/>
      <c r="J9" s="27"/>
    </row>
    <row r="10" spans="1:11" ht="22.8" x14ac:dyDescent="0.3">
      <c r="A10" s="27"/>
      <c r="B10" s="39"/>
      <c r="C10" s="39"/>
      <c r="D10" s="39"/>
      <c r="E10" s="39"/>
      <c r="F10" s="39"/>
      <c r="G10" s="39"/>
      <c r="H10" s="39"/>
      <c r="I10" s="39"/>
      <c r="J10" s="27"/>
    </row>
    <row r="11" spans="1:11" ht="22.8" x14ac:dyDescent="0.3">
      <c r="A11" s="27"/>
      <c r="B11" s="39"/>
      <c r="F11" s="39"/>
      <c r="G11" s="39"/>
      <c r="H11" s="39"/>
      <c r="I11" s="39"/>
      <c r="J11" s="27"/>
    </row>
    <row r="12" spans="1:11" ht="22.8" x14ac:dyDescent="0.3">
      <c r="A12" s="27"/>
      <c r="B12" s="39"/>
      <c r="C12" s="39"/>
      <c r="D12" s="39"/>
      <c r="E12" s="39"/>
      <c r="F12" s="39"/>
      <c r="G12" s="39"/>
      <c r="H12" s="39"/>
      <c r="I12" s="39"/>
      <c r="J12" s="27"/>
    </row>
    <row r="13" spans="1:11" ht="22.8" x14ac:dyDescent="0.3">
      <c r="A13" s="27"/>
      <c r="B13" s="39"/>
      <c r="C13" s="39"/>
      <c r="D13" s="39"/>
      <c r="E13" s="39"/>
      <c r="F13" s="39"/>
      <c r="G13" s="39"/>
      <c r="H13" s="39"/>
      <c r="I13" s="39"/>
      <c r="J13" s="27"/>
    </row>
    <row r="14" spans="1:11" ht="22.8" x14ac:dyDescent="0.3">
      <c r="A14" s="27"/>
      <c r="B14" s="39"/>
      <c r="C14" s="39"/>
      <c r="D14" s="39"/>
      <c r="E14" s="39"/>
      <c r="F14" s="39"/>
      <c r="G14" s="39"/>
      <c r="H14" s="39"/>
      <c r="I14" s="39"/>
      <c r="J14" s="27"/>
    </row>
    <row r="15" spans="1:11" ht="23.4" thickBot="1" x14ac:dyDescent="0.35">
      <c r="A15" s="208"/>
      <c r="B15" s="178"/>
      <c r="C15" s="178"/>
      <c r="D15" s="178"/>
      <c r="E15" s="178"/>
      <c r="F15" s="178"/>
      <c r="G15" s="178"/>
      <c r="H15" s="178"/>
      <c r="I15" s="179"/>
      <c r="J15" s="27"/>
    </row>
    <row r="16" spans="1:11" ht="23.4" thickBot="1" x14ac:dyDescent="0.65">
      <c r="A16" s="166" t="s">
        <v>55</v>
      </c>
      <c r="B16" s="1">
        <v>7</v>
      </c>
      <c r="C16" s="1" t="s">
        <v>56</v>
      </c>
      <c r="D16" s="1" t="s">
        <v>11</v>
      </c>
      <c r="E16" s="1" t="s">
        <v>57</v>
      </c>
      <c r="F16" s="41">
        <v>45724</v>
      </c>
      <c r="G16" s="42" t="s">
        <v>53</v>
      </c>
      <c r="H16" s="1" t="s">
        <v>14</v>
      </c>
      <c r="I16" s="1"/>
      <c r="J16" s="27"/>
    </row>
    <row r="17" spans="1:10" ht="23.4" thickBot="1" x14ac:dyDescent="0.65">
      <c r="A17" s="168"/>
      <c r="B17" s="1">
        <v>8</v>
      </c>
      <c r="C17" s="1" t="s">
        <v>49</v>
      </c>
      <c r="D17" s="1" t="s">
        <v>11</v>
      </c>
      <c r="E17" s="1" t="s">
        <v>52</v>
      </c>
      <c r="F17" s="41">
        <v>45724</v>
      </c>
      <c r="G17" s="42" t="s">
        <v>58</v>
      </c>
      <c r="H17" s="1" t="s">
        <v>14</v>
      </c>
      <c r="I17" s="1"/>
      <c r="J17" s="27"/>
    </row>
    <row r="18" spans="1:10" ht="23.4" thickBot="1" x14ac:dyDescent="0.35">
      <c r="A18" s="201"/>
      <c r="B18" s="182"/>
      <c r="C18" s="182"/>
      <c r="D18" s="182"/>
      <c r="E18" s="182"/>
      <c r="F18" s="182"/>
      <c r="G18" s="182"/>
      <c r="H18" s="182"/>
      <c r="I18" s="183"/>
      <c r="J18" s="27"/>
    </row>
    <row r="19" spans="1:10" ht="46.2" thickBot="1" x14ac:dyDescent="0.35">
      <c r="A19" s="1" t="s">
        <v>59</v>
      </c>
      <c r="B19" s="1">
        <v>9</v>
      </c>
      <c r="C19" s="1" t="s">
        <v>60</v>
      </c>
      <c r="D19" s="1" t="s">
        <v>11</v>
      </c>
      <c r="E19" s="1" t="s">
        <v>61</v>
      </c>
      <c r="F19" s="43">
        <v>45725</v>
      </c>
      <c r="G19" s="1" t="s">
        <v>53</v>
      </c>
      <c r="H19" s="1" t="s">
        <v>14</v>
      </c>
      <c r="I19" s="1"/>
      <c r="J19" s="27"/>
    </row>
    <row r="20" spans="1:10" ht="23.4" thickBot="1" x14ac:dyDescent="0.35">
      <c r="A20" s="201"/>
      <c r="B20" s="182"/>
      <c r="C20" s="182"/>
      <c r="D20" s="182"/>
      <c r="E20" s="182"/>
      <c r="F20" s="182"/>
      <c r="G20" s="182"/>
      <c r="H20" s="182"/>
      <c r="I20" s="183"/>
      <c r="J20" s="27"/>
    </row>
    <row r="21" spans="1:10" ht="23.4" thickBot="1" x14ac:dyDescent="0.35">
      <c r="A21" s="1" t="s">
        <v>62</v>
      </c>
      <c r="B21" s="1">
        <v>10</v>
      </c>
      <c r="C21" s="1" t="s">
        <v>63</v>
      </c>
      <c r="D21" s="1" t="s">
        <v>11</v>
      </c>
      <c r="E21" s="1" t="s">
        <v>64</v>
      </c>
      <c r="F21" s="43">
        <v>45725</v>
      </c>
      <c r="G21" s="1" t="s">
        <v>58</v>
      </c>
      <c r="H21" s="1" t="s">
        <v>14</v>
      </c>
      <c r="I21" s="1"/>
      <c r="J21" s="27"/>
    </row>
    <row r="22" spans="1:10" ht="33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6">
    <mergeCell ref="A20:I20"/>
    <mergeCell ref="A1:I1"/>
    <mergeCell ref="A3:A8"/>
    <mergeCell ref="A15:I15"/>
    <mergeCell ref="A16:A17"/>
    <mergeCell ref="A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AT_ALL_SCHEDULE</vt:lpstr>
      <vt:lpstr>AT_LEADERBOARD</vt:lpstr>
      <vt:lpstr>AT_RESULTS</vt:lpstr>
      <vt:lpstr>BB_MEN_LEADERBOARD</vt:lpstr>
      <vt:lpstr>BB_MEN_SCHEDULE</vt:lpstr>
      <vt:lpstr>BB_WOMEN_LEADERBOARD</vt:lpstr>
      <vt:lpstr>BB_WOMEN_SCHEDULE</vt:lpstr>
      <vt:lpstr>BT_MEN_LEADERBOARD</vt:lpstr>
      <vt:lpstr>BT_MEN_SCHEDULE</vt:lpstr>
      <vt:lpstr>BT_WOMEN_LEADERBOARD</vt:lpstr>
      <vt:lpstr>BT_WOMEN_SCHEDULE</vt:lpstr>
      <vt:lpstr>CH_MEN_LEADERBOARD</vt:lpstr>
      <vt:lpstr>CH_MEN_SCHEDULE</vt:lpstr>
      <vt:lpstr>CR_MEN_LEADERBOARD</vt:lpstr>
      <vt:lpstr>CR_MEN_SCHEDULE</vt:lpstr>
      <vt:lpstr>FB_MEN_LEADERBOARD</vt:lpstr>
      <vt:lpstr>FB_MEN_SCHEDULE</vt:lpstr>
      <vt:lpstr>TT_MEN_LEADERBOARD</vt:lpstr>
      <vt:lpstr>TT_MEN_SCHEDULE</vt:lpstr>
      <vt:lpstr>TT_WOMEN_LEADERBOARD</vt:lpstr>
      <vt:lpstr>TT_WOMEN_SCHEDULE</vt:lpstr>
      <vt:lpstr>VB_MEN_LEADERBOARD</vt:lpstr>
      <vt:lpstr>VB_MEN_SCHEDULE</vt:lpstr>
      <vt:lpstr>VB_WOMEN_LEADERBOARD</vt:lpstr>
      <vt:lpstr>VB_WOMEN_SCHEDULE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REDDY</dc:creator>
  <cp:lastModifiedBy>ADARSH REDDY</cp:lastModifiedBy>
  <dcterms:created xsi:type="dcterms:W3CDTF">2025-12-24T16:16:49Z</dcterms:created>
  <dcterms:modified xsi:type="dcterms:W3CDTF">2026-01-09T11:26:05Z</dcterms:modified>
</cp:coreProperties>
</file>